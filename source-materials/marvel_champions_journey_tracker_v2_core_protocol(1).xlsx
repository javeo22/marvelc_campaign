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f16187612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ca9af846da84041"/>
    <x:sheet xmlns:r="http://schemas.openxmlformats.org/officeDocument/2006/relationships" name="Card Reference" sheetId="2" r:id="R565a82ef71c44d42"/>
    <x:sheet xmlns:r="http://schemas.openxmlformats.org/officeDocument/2006/relationships" name="Heroes &amp; Scenarios" sheetId="3" r:id="Ref6b9cf1013c4eec"/>
    <x:sheet xmlns:r="http://schemas.openxmlformats.org/officeDocument/2006/relationships" name="Progress" sheetId="4" r:id="R0107a040bb934966"/>
    <x:sheet xmlns:r="http://schemas.openxmlformats.org/officeDocument/2006/relationships" name="Rules Log" sheetId="5" r:id="Rb5069ff50d7648b7"/>
    <x:sheet xmlns:r="http://schemas.openxmlformats.org/officeDocument/2006/relationships" name="Deck Log" sheetId="6" r:id="Rcda23de452334e08"/>
    <x:sheet xmlns:r="http://schemas.openxmlformats.org/officeDocument/2006/relationships" name="Core Protocol" sheetId="7" r:id="R33af536503de4b90"/>
    <x:sheet xmlns:r="http://schemas.openxmlformats.org/officeDocument/2006/relationships" name="Mirror Protocol" sheetId="8" r:id="Re39ffaed86ff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11111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  <x:font>
      <x:b/>
      <x:sz val="12"/>
      <x:color rgb="FF172033"/>
      <x:name val="Carlito"/>
    </x:font>
    <x:font>
      <x:sz val="9"/>
      <x:color rgb="FF172033"/>
      <x:name val="Carlito"/>
    </x:font>
    <x:font>
      <x:sz val="9"/>
      <x:name val="Carlito"/>
    </x:font>
    <x:font>
      <x:b/>
      <x:sz val="9"/>
      <x:color rgb="FF172033"/>
      <x:name val="Carlito"/>
    </x:font>
    <x:font>
      <x:b/>
      <x:sz val="14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5283B"/>
      </x:patternFill>
    </x:fill>
    <x:fill>
      <x:patternFill patternType="solid">
        <x:fgColor rgb="FFB21E2B"/>
      </x:patternFill>
    </x:fill>
    <x:fill>
      <x:patternFill patternType="solid">
        <x:fgColor rgb="FFF0B429"/>
      </x:patternFill>
    </x:fill>
    <x:fill>
      <x:patternFill patternType="solid">
        <x:fgColor rgb="FFF4F6F8"/>
      </x:patternFill>
    </x:fill>
    <x:fill>
      <x:patternFill patternType="solid">
        <x:fgColor rgb="FF12223E"/>
      </x:patternFill>
    </x:fill>
    <x:fill>
      <x:patternFill patternType="solid">
        <x:fgColor rgb="FFD9A843"/>
      </x:patternFill>
    </x:fill>
    <x:fill>
      <x:patternFill patternType="solid">
        <x:fgColor rgb="FFFAF4E8"/>
      </x:patternFill>
    </x:fill>
    <x:fill>
      <x:patternFill patternType="solid">
        <x:fgColor rgb="FF665181"/>
      </x:patternFill>
    </x:fill>
    <x:fill>
      <x:patternFill patternType="solid">
        <x:fgColor rgb="FFEEF3F8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C51F3A"/>
      </x:patternFill>
    </x:fill>
    <x:fill>
      <x:patternFill patternType="solid">
        <x:fgColor rgb="FFEEEAF4"/>
      </x:patternFill>
    </x:fill>
  </x:fills>
  <x:borders count="2">
    <x:border/>
    <x:border/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6" fillId="7" xfId="0" applyNumberFormat="1" applyFont="1" applyFill="1" applyBorder="0" applyAlignment="1">
      <x:alignment horizontal="center"/>
    </x:xf>
    <x:xf numFmtId="0" fontId="7" fillId="8" xfId="0" applyNumberFormat="1" applyFont="1" applyFill="1" applyBorder="0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1" fillId="9" xfId="0" applyNumberFormat="1" applyFont="1" applyFill="1" applyBorder="0" applyAlignment="1">
      <x:alignment horizontal="left"/>
    </x:xf>
    <x:xf numFmtId="0" fontId="8" fillId="10" xfId="0" applyNumberFormat="1" applyFont="1" applyFill="1" applyBorder="0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0" fontId="1" fillId="13" xfId="0" applyNumberFormat="1" applyFont="1" applyFill="1" applyBorder="0"/>
    <x:xf numFmtId="0" fontId="10" fillId="8" xfId="0" applyNumberFormat="1" applyFont="1" applyFill="1" applyBorder="0" applyAlignment="1">
      <x:alignment wrapText="1"/>
    </x:xf>
    <x:xf numFmtId="0" fontId="9" fillId="8" xfId="0" applyNumberFormat="1" applyFont="1" applyFill="1" applyBorder="0" applyAlignment="1">
      <x:alignment wrapText="1"/>
    </x:xf>
    <x:xf numFmtId="0" fontId="11" fillId="6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horizontal="center" wrapText="1"/>
    </x:xf>
    <x:xf numFmtId="0" fontId="0" fillId="8" xfId="0" applyNumberFormat="1" applyFont="1" applyFill="1" applyBorder="0" applyAlignment="1">
      <x:alignment horizontal="center" wrapText="1"/>
    </x:xf>
    <x:xf numFmtId="0" fontId="1" fillId="6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1" borderId="0" xfId="0" applyNumberFormat="1" applyFont="1" applyFill="1" applyBorder="1"/>
    <x:xf numFmtId="0" fontId="9" fillId="12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1" fillId="9" xfId="0" applyNumberFormat="1" applyFont="1" applyFill="1" applyBorder="0"/>
    <x:xf numFmtId="0" fontId="6" fillId="14" xfId="0" applyNumberFormat="1" applyFont="1" applyFill="1" applyBorder="0" applyAlignment="1">
      <x:alignment horizontal="center"/>
    </x:xf>
    <x:xf numFmtId="0" fontId="9" fillId="10" xfId="0" applyNumberFormat="1" applyFont="1" applyFill="1" applyBorder="0" applyAlignment="1">
      <x:alignment horizontal="center" wrapText="1"/>
    </x:xf>
    <x:xf numFmtId="0" fontId="10" fillId="8" xfId="0" applyNumberFormat="1" applyFont="1" applyFill="1" applyBorder="0" applyAlignment="1">
      <x:alignment vertical="center" wrapText="1"/>
    </x:xf>
    <x:xf numFmtId="0" fontId="8" fillId="8" xfId="0" applyNumberFormat="1" applyFont="1" applyFill="1" applyBorder="0" applyAlignment="1">
      <x:alignment wrapText="1"/>
    </x:xf>
    <x:xf numFmtId="0" fontId="8" fillId="8" xfId="0" applyNumberFormat="1" applyFont="1" applyFill="1" applyBorder="0" applyAlignment="1">
      <x:alignment vertical="center" wrapText="1"/>
    </x:xf>
    <x:xf numFmtId="0" fontId="10" fillId="7" xfId="0" applyNumberFormat="1" applyFont="1" applyFill="1" applyBorder="0" applyAlignment="1">
      <x:alignment horizontal="center"/>
    </x:xf>
  </x:cellXfs>
  <x:cellStyles count="1">
    <x:cellStyle name="Normal" xfId="0"/>
  </x:cellStyles>
  <x:dxfs count="8">
    <x:dxf>
      <x:font>
        <x:b/>
        <x:color rgb="FF2D7A54"/>
      </x:font>
      <x:fill>
        <x:patternFill>
          <x:bgColor rgb="FFEDF6EF"/>
        </x:patternFill>
      </x:fill>
    </x:dxf>
    <x:dxf>
      <x:font>
        <x:b/>
        <x:color rgb="FFC51F3A"/>
      </x:font>
      <x:fill>
        <x:patternFill>
          <x:bgColor rgb="FFF9ECEF"/>
        </x:patternFill>
      </x:fill>
    </x:dxf>
    <x:dxf>
      <x:font>
        <x:b/>
        <x:color rgb="FF2D7A54"/>
      </x:font>
      <x:fill>
        <x:patternFill>
          <x:bgColor rgb="FFEDF6EF"/>
        </x:patternFill>
      </x:fill>
    </x:dxf>
    <x:dxf>
      <x:font>
        <x:b/>
        <x:color rgb="FF8A641F"/>
      </x:font>
      <x:fill>
        <x:patternFill>
          <x:bgColor rgb="FFFAF4E8"/>
        </x:patternFill>
      </x:fill>
    </x:dxf>
    <x:dxf>
      <x:font>
        <x:b/>
        <x:color rgb="FF665181"/>
      </x:font>
      <x:fill>
        <x:patternFill>
          <x:bgColor rgb="FFEEEAF4"/>
        </x:patternFill>
      </x:fill>
    </x:dxf>
    <x:dxf>
      <x:font>
        <x:b/>
        <x:color rgb="FFC51F3A"/>
      </x:font>
      <x:fill>
        <x:patternFill>
          <x:bgColor rgb="FFF9ECEF"/>
        </x:patternFill>
      </x:fill>
    </x:dxf>
    <x:dxf>
      <x:font>
        <x:b/>
        <x:color rgb="FF2D7A54"/>
      </x:font>
      <x:fill>
        <x:patternFill>
          <x:bgColor rgb="FFEDF6EF"/>
        </x:patternFill>
      </x:fill>
    </x:dxf>
    <x:dxf>
      <x:font>
        <x:b/>
        <x:color rgb="FFC51F3A"/>
      </x:font>
      <x:fill>
        <x:patternFill>
          <x:bgColor rgb="FFF9EC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381107c9f4812" /><Relationship Type="http://schemas.openxmlformats.org/officeDocument/2006/relationships/theme" Target="/xl/theme/theme1.xml" Id="Rf05883b498ec46b2" /><Relationship Type="http://schemas.openxmlformats.org/officeDocument/2006/relationships/sharedStrings" Target="/xl/sharedStrings.xml" Id="R6ed5023edd194ff1" /><Relationship Type="http://schemas.openxmlformats.org/officeDocument/2006/relationships/worksheet" Target="/xl/worksheets/sheet1.xml" Id="Rdca9af846da84041" /><Relationship Type="http://schemas.openxmlformats.org/officeDocument/2006/relationships/worksheet" Target="/xl/worksheets/sheet2.xml" Id="R565a82ef71c44d42" /><Relationship Type="http://schemas.openxmlformats.org/officeDocument/2006/relationships/worksheet" Target="/xl/worksheets/sheet3.xml" Id="Ref6b9cf1013c4eec" /><Relationship Type="http://schemas.openxmlformats.org/officeDocument/2006/relationships/worksheet" Target="/xl/worksheets/sheet4.xml" Id="R0107a040bb934966" /><Relationship Type="http://schemas.openxmlformats.org/officeDocument/2006/relationships/worksheet" Target="/xl/worksheets/sheet5.xml" Id="Rb5069ff50d7648b7" /><Relationship Type="http://schemas.openxmlformats.org/officeDocument/2006/relationships/worksheet" Target="/xl/worksheets/sheet6.xml" Id="Rcda23de452334e08" /><Relationship Type="http://schemas.openxmlformats.org/officeDocument/2006/relationships/worksheet" Target="/xl/worksheets/sheet7.xml" Id="R33af536503de4b90" /><Relationship Type="http://schemas.openxmlformats.org/officeDocument/2006/relationships/worksheet" Target="/xl/worksheets/sheet8.xml" Id="Re39ffaed86ff47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aaa8891fae4a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Unique card entries by box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Unique entries</c:v>
          </c:tx>
          <c:cat>
            <c:strRef>
              <c:f>'Dashboard'!$G$5:$G$6</c:f>
              <c:strCache>
                <c:ptCount val="0"/>
              </c:strCache>
            </c:strRef>
          </c:cat>
          <c:val>
            <c:numRef>
              <c:f>'Dashboard'!$H$5:$H$6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aaa8891fae4a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dReferenceTable" displayName="CardReferenceTable" ref="A1:J360" headerRowCount="1" totalsRowCount="0" totalsRowShown="0">
  <x:tableColumns count="10">
    <x:tableColumn id="1" name="Pack EN"/>
    <x:tableColumn id="2" name="Pack ES"/>
    <x:tableColumn id="3" name="Collector #"/>
    <x:tableColumn id="4" name="English name"/>
    <x:tableColumn id="5" name="Nombre en español"/>
    <x:tableColumn id="6" name="Category"/>
    <x:tableColumn id="7" name="Section / Set EN"/>
    <x:tableColumn id="8" name="Sección / Conjunto ES"/>
    <x:tableColumn id="9" name="Source EN"/>
    <x:tableColumn id="10" name="Source 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gressTable" displayName="ProgressTable" ref="A1:K200" headerRowCount="1" totalsRowCount="0" totalsRowShown="0">
  <x:tableColumns count="11">
    <x:tableColumn id="1" name="Date"/>
    <x:tableColumn id="2" name="Hero EN"/>
    <x:tableColumn id="3" name="Hero ES"/>
    <x:tableColumn id="4" name="Aspect"/>
    <x:tableColumn id="5" name="Scenario EN"/>
    <x:tableColumn id="6" name="Scenario ES"/>
    <x:tableColumn id="7" name="Difficulty"/>
    <x:tableColumn id="8" name="Campaign?"/>
    <x:tableColumn id="9" name="Result"/>
    <x:tableColumn id="10" name="Deck ID"/>
    <x:tableColumn id="11" name="Key notes / less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kLogTable" displayName="DeckLogTable" ref="A1:J200" headerRowCount="1" totalsRowCount="0" totalsRowShown="0">
  <x:tableColumns count="10">
    <x:tableColumn id="1" name="Date"/>
    <x:tableColumn id="2" name="Deck ID"/>
    <x:tableColumn id="3" name="Hero EN"/>
    <x:tableColumn id="4" name="Hero ES"/>
    <x:tableColumn id="5" name="Aspect(s)"/>
    <x:tableColumn id="6" name="Deck name / version"/>
    <x:tableColumn id="7" name="Scenario tested"/>
    <x:tableColumn id="8" name="Result"/>
    <x:tableColumn id="9" name="Deck notes"/>
    <x:tableColumn id="10" name="MarvelCDB /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dce2ca332049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13d07422e84c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1568f1d901244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ea6db98945b48e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7" hidden="0" customWidth="1"/>
    <x:col min="4" max="4" width="24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4" t="str">
        <x:v>MARVEL CHAMPIONS — JOURNEY TRACKER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4">
      <x:c r="A4" s="31" t="str">
        <x:v>COLLECTION</x:v>
      </x:c>
      <x:c r="B4" s="31" t="str">
        <x:v>Value</x:v>
      </x:c>
      <x:c r="D4" s="31" t="str">
        <x:v>PROGRESS</x:v>
      </x:c>
      <x:c r="E4" s="31" t="str">
        <x:v>Value</x:v>
      </x:c>
      <x:c r="G4" s="3" t="str">
        <x:v>Box</x:v>
      </x:c>
      <x:c r="H4" s="3" t="str">
        <x:v>Unique entries</x:v>
      </x:c>
    </x:row>
    <x:row r="5">
      <x:c r="A5" s="35" t="str">
        <x:v>Owned boxes</x:v>
      </x:c>
      <x:c r="B5" t="n">
        <x:v>2</x:v>
      </x:c>
      <x:c r="D5" s="35" t="str">
        <x:v>Games logged</x:v>
      </x:c>
      <x:c r="E5" t="n">
        <x:f>COUNTA(Progress!B2:B200)</x:f>
        <x:v>3</x:v>
      </x:c>
      <x:c r="G5" t="str">
        <x:v>Core Set</x:v>
      </x:c>
      <x:c r="H5" t="n">
        <x:v>193</x:v>
      </x:c>
    </x:row>
    <x:row r="6">
      <x:c r="A6" s="35" t="str">
        <x:v>Unique collector entries</x:v>
      </x:c>
      <x:c r="B6" t="n">
        <x:f>COUNTA('Card Reference'!D2:D400)</x:f>
        <x:v>359</x:v>
      </x:c>
      <x:c r="D6" s="35" t="str">
        <x:v>Wins</x:v>
      </x:c>
      <x:c r="E6" t="n">
        <x:f>COUNTIF(Progress!I2:I200,"Win")</x:f>
        <x:v>2</x:v>
      </x:c>
      <x:c r="G6" t="str">
        <x:v>Rise of Red Skull</x:v>
      </x:c>
      <x:c r="H6" t="n">
        <x:v>166</x:v>
      </x:c>
    </x:row>
    <x:row r="7">
      <x:c r="A7" s="35" t="str">
        <x:v>Physical gameplay cards</x:v>
      </x:c>
      <x:c r="B7" t="n">
        <x:v>601</x:v>
      </x:c>
      <x:c r="D7" s="35" t="str">
        <x:v>Losses</x:v>
      </x:c>
      <x:c r="E7" t="n">
        <x:f>COUNTIF(Progress!I2:I200,"Loss")</x:f>
        <x:v>0</x:v>
      </x:c>
    </x:row>
    <x:row r="8">
      <x:c r="A8" s="35" t="str">
        <x:v>Owned heroes</x:v>
      </x:c>
      <x:c r="B8" t="n">
        <x:v>7</x:v>
      </x:c>
      <x:c r="D8" s="35" t="str">
        <x:v>Other / unknown</x:v>
      </x:c>
      <x:c r="E8" t="n">
        <x:f>E5-E6-E7</x:f>
        <x:v>1</x:v>
      </x:c>
    </x:row>
    <x:row r="9">
      <x:c r="A9" s="35" t="str">
        <x:v>Owned scenarios</x:v>
      </x:c>
      <x:c r="B9" t="n">
        <x:v>8</x:v>
      </x:c>
      <x:c r="D9" s="35" t="str">
        <x:v>Win rate</x:v>
      </x:c>
      <x:c r="E9" s="28" t="n">
        <x:f>IF(E6+E7=0,0,E6/(E6+E7))</x:f>
        <x:v>1</x:v>
      </x:c>
    </x:row>
    <x:row r="10">
      <x:c r="A10" s="35" t="str">
        <x:v>Language</x:v>
      </x:c>
      <x:c r="B10" t="str">
        <x:v>Spanish physical / bilingual reference</x:v>
      </x:c>
    </x:row>
    <x:row r="12">
      <x:c r="A12" s="13" t="str">
        <x:v>Project conventions</x:v>
      </x:c>
      <x:c r="B12" s="13"/>
      <x:c r="C12" s="13"/>
      <x:c r="D12" s="13"/>
      <x:c r="E12" s="13"/>
      <x:c r="F12" s="13"/>
      <x:c r="G12" s="13"/>
      <x:c r="H12" s="13"/>
    </x:row>
    <x:row r="13">
      <x:c r="A13" s="39" t="str">
        <x:v>• True solo is the default mode for deckbuilding and recommendations.
• English is the conversation language; official Spanish names are used to identify the physical cards.
• Card collector number is the tie-breaker when a translation/name is ambiguous.
• Rules checks prioritize Fantasy Flight Games Rules Reference v1.8 (July 2026), then official FAQ/errata; Spanish 1.7 may still be useful for terminology.
• Track result, difficulty, aspect, deck version, and the lesson learned after each game.</x:v>
      </x:c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20">
      <x:c r="A20" s="3" t="str">
        <x:v>Reference sources</x:v>
      </x:c>
      <x:c r="B20" s="3"/>
      <x:c r="C20" s="3"/>
      <x:c r="D20" s="3"/>
      <x:c r="E20" s="3"/>
      <x:c r="F20" s="3"/>
      <x:c r="G20" s="3"/>
      <x:c r="H20" s="3"/>
    </x:row>
    <x:row r="21">
      <x:c r="A21" s="39" t="str">
        <x:v>English card database: https://marvelcdb.com/set/core and https://marvelcdb.com/set/trors
Spanish card database: https://es.marvelcdb.com/set/core and https://es.marvelcdb.com/set/trors
Latest official rules authority (FFG Rules Reference v1.8): https://www.fantasyflightgames.com/en/news/2026/7/23/mission-updates/
Spanish Asmodee page (currently lists Referencia 1.7): https://www.asmodee.es/product/marvel-champions-el-juego-de-cartas/
Card Reference lists 359 unique collector-number entries; 601 is the physical gameplay-card total across the two boxes.</x:v>
      </x:c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</x:sheetData>
  <x:mergeCells>
    <x:mergeCell ref="A1:H2"/>
    <x:mergeCell ref="A12:H12"/>
    <x:mergeCell ref="A13:H17"/>
    <x:mergeCell ref="A20:H20"/>
    <x:mergeCell ref="A21:H24"/>
  </x:mergeCells>
  <x:pageMargins left="0.7" right="0.7" top="0.75" bottom="0.75" header="0.3" footer="0.3"/>
  <x:drawing xmlns:r="http://schemas.openxmlformats.org/officeDocument/2006/relationships" r:id="R9adce2ca332049be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1" hidden="0" customWidth="1"/>
    <x:col min="4" max="4" width="31" hidden="0" customWidth="1"/>
    <x:col min="5" max="5" width="34" hidden="0" customWidth="1"/>
    <x:col min="6" max="6" width="12" hidden="0" customWidth="1"/>
    <x:col min="7" max="7" width="25" hidden="0" customWidth="1"/>
    <x:col min="8" max="8" width="30" hidden="0" customWidth="1"/>
    <x:col min="9" max="9" width="33" hidden="0" customWidth="1"/>
    <x:col min="10" max="10" width="35" hidden="0" customWidth="1"/>
  </x:cols>
  <x:sheetData>
    <x:row r="1">
      <x:c r="A1" s="8" t="str">
        <x:v>Pack EN</x:v>
      </x:c>
      <x:c r="B1" s="8" t="str">
        <x:v>Pack ES</x:v>
      </x:c>
      <x:c r="C1" s="8" t="str">
        <x:v>Collector #</x:v>
      </x:c>
      <x:c r="D1" s="8" t="str">
        <x:v>English name</x:v>
      </x:c>
      <x:c r="E1" s="8" t="str">
        <x:v>Nombre en español</x:v>
      </x:c>
      <x:c r="F1" s="8" t="str">
        <x:v>Category</x:v>
      </x:c>
      <x:c r="G1" s="8" t="str">
        <x:v>Section / Set EN</x:v>
      </x:c>
      <x:c r="H1" s="8" t="str">
        <x:v>Sección / Conjunto ES</x:v>
      </x:c>
      <x:c r="I1" s="8" t="str">
        <x:v>Source EN</x:v>
      </x:c>
      <x:c r="J1" s="8" t="str">
        <x:v>Source ES</x:v>
      </x:c>
    </x:row>
    <x:row r="2" ht="20" customHeight="1">
      <x:c r="A2" s="9" t="str">
        <x:v>Core Set</x:v>
      </x:c>
      <x:c r="B2" s="9" t="str">
        <x:v>Caja básica</x:v>
      </x:c>
      <x:c r="C2" s="9" t="n">
        <x:v>1</x:v>
      </x:c>
      <x:c r="D2" s="9" t="str">
        <x:v>Spider-Man</x:v>
      </x:c>
      <x:c r="E2" s="9" t="str">
        <x:v>Spiderman</x:v>
      </x:c>
      <x:c r="F2" s="9" t="str">
        <x:v>Player</x:v>
      </x:c>
      <x:c r="G2" s="9" t="str">
        <x:v>Spider-Man</x:v>
      </x:c>
      <x:c r="H2" s="9" t="str">
        <x:v>Spiderman</x:v>
      </x:c>
      <x:c r="I2" s="9" t="str">
        <x:v>https://marvelcdb.com/set/core</x:v>
      </x:c>
      <x:c r="J2" s="9" t="str">
        <x:v>https://es.marvelcdb.com/set/core</x:v>
      </x:c>
    </x:row>
    <x:row r="3" ht="20" customHeight="1">
      <x:c r="A3" s="9" t="str">
        <x:v>Core Set</x:v>
      </x:c>
      <x:c r="B3" s="9" t="str">
        <x:v>Caja básica</x:v>
      </x:c>
      <x:c r="C3" s="9" t="n">
        <x:v>2</x:v>
      </x:c>
      <x:c r="D3" s="9" t="str">
        <x:v>Black Cat: Felicia Hardy</x:v>
      </x:c>
      <x:c r="E3" s="9" t="str">
        <x:v>Gata Negra: Felicia Hardy</x:v>
      </x:c>
      <x:c r="F3" s="9" t="str">
        <x:v>Player</x:v>
      </x:c>
      <x:c r="G3" s="9" t="str">
        <x:v>Spider-Man</x:v>
      </x:c>
      <x:c r="H3" s="9" t="str">
        <x:v>Spiderman</x:v>
      </x:c>
      <x:c r="I3" s="9" t="str">
        <x:v>https://marvelcdb.com/set/core</x:v>
      </x:c>
      <x:c r="J3" s="9" t="str">
        <x:v>https://es.marvelcdb.com/set/core</x:v>
      </x:c>
    </x:row>
    <x:row r="4" ht="20" customHeight="1">
      <x:c r="A4" s="9" t="str">
        <x:v>Core Set</x:v>
      </x:c>
      <x:c r="B4" s="9" t="str">
        <x:v>Caja básica</x:v>
      </x:c>
      <x:c r="C4" s="9" t="n">
        <x:v>3</x:v>
      </x:c>
      <x:c r="D4" s="9" t="str">
        <x:v>Backflip</x:v>
      </x:c>
      <x:c r="E4" s="9" t="str">
        <x:v>Voltereta hacia atrás</x:v>
      </x:c>
      <x:c r="F4" s="9" t="str">
        <x:v>Player</x:v>
      </x:c>
      <x:c r="G4" s="9" t="str">
        <x:v>Spider-Man</x:v>
      </x:c>
      <x:c r="H4" s="9" t="str">
        <x:v>Spiderman</x:v>
      </x:c>
      <x:c r="I4" s="9" t="str">
        <x:v>https://marvelcdb.com/set/core</x:v>
      </x:c>
      <x:c r="J4" s="9" t="str">
        <x:v>https://es.marvelcdb.com/set/core</x:v>
      </x:c>
    </x:row>
    <x:row r="5" ht="20" customHeight="1">
      <x:c r="A5" s="9" t="str">
        <x:v>Core Set</x:v>
      </x:c>
      <x:c r="B5" s="9" t="str">
        <x:v>Caja básica</x:v>
      </x:c>
      <x:c r="C5" s="9" t="n">
        <x:v>4</x:v>
      </x:c>
      <x:c r="D5" s="9" t="str">
        <x:v>Enhanced Spider-Sense</x:v>
      </x:c>
      <x:c r="E5" s="9" t="str">
        <x:v>Sentido arácnido mejorado</x:v>
      </x:c>
      <x:c r="F5" s="9" t="str">
        <x:v>Player</x:v>
      </x:c>
      <x:c r="G5" s="9" t="str">
        <x:v>Spider-Man</x:v>
      </x:c>
      <x:c r="H5" s="9" t="str">
        <x:v>Spiderman</x:v>
      </x:c>
      <x:c r="I5" s="9" t="str">
        <x:v>https://marvelcdb.com/set/core</x:v>
      </x:c>
      <x:c r="J5" s="9" t="str">
        <x:v>https://es.marvelcdb.com/set/core</x:v>
      </x:c>
    </x:row>
    <x:row r="6" ht="20" customHeight="1">
      <x:c r="A6" s="9" t="str">
        <x:v>Core Set</x:v>
      </x:c>
      <x:c r="B6" s="9" t="str">
        <x:v>Caja básica</x:v>
      </x:c>
      <x:c r="C6" s="9" t="n">
        <x:v>5</x:v>
      </x:c>
      <x:c r="D6" s="9" t="str">
        <x:v>Swinging Web Kick</x:v>
      </x:c>
      <x:c r="E6" s="9" t="str">
        <x:v>Balanceo con patada</x:v>
      </x:c>
      <x:c r="F6" s="9" t="str">
        <x:v>Player</x:v>
      </x:c>
      <x:c r="G6" s="9" t="str">
        <x:v>Spider-Man</x:v>
      </x:c>
      <x:c r="H6" s="9" t="str">
        <x:v>Spiderman</x:v>
      </x:c>
      <x:c r="I6" s="9" t="str">
        <x:v>https://marvelcdb.com/set/core</x:v>
      </x:c>
      <x:c r="J6" s="9" t="str">
        <x:v>https://es.marvelcdb.com/set/core</x:v>
      </x:c>
    </x:row>
    <x:row r="7" ht="20" customHeight="1">
      <x:c r="A7" s="9" t="str">
        <x:v>Core Set</x:v>
      </x:c>
      <x:c r="B7" s="9" t="str">
        <x:v>Caja básica</x:v>
      </x:c>
      <x:c r="C7" s="9" t="n">
        <x:v>6</x:v>
      </x:c>
      <x:c r="D7" s="9" t="str">
        <x:v>Aunt May</x:v>
      </x:c>
      <x:c r="E7" s="9" t="str">
        <x:v>Tía May</x:v>
      </x:c>
      <x:c r="F7" s="9" t="str">
        <x:v>Player</x:v>
      </x:c>
      <x:c r="G7" s="9" t="str">
        <x:v>Spider-Man</x:v>
      </x:c>
      <x:c r="H7" s="9" t="str">
        <x:v>Spiderman</x:v>
      </x:c>
      <x:c r="I7" s="9" t="str">
        <x:v>https://marvelcdb.com/set/core</x:v>
      </x:c>
      <x:c r="J7" s="9" t="str">
        <x:v>https://es.marvelcdb.com/set/core</x:v>
      </x:c>
    </x:row>
    <x:row r="8" ht="20" customHeight="1">
      <x:c r="A8" s="9" t="str">
        <x:v>Core Set</x:v>
      </x:c>
      <x:c r="B8" s="9" t="str">
        <x:v>Caja básica</x:v>
      </x:c>
      <x:c r="C8" s="9" t="n">
        <x:v>7</x:v>
      </x:c>
      <x:c r="D8" s="9" t="str">
        <x:v>Spider-Tracer</x:v>
      </x:c>
      <x:c r="E8" s="9" t="str">
        <x:v>Rastreador arácnido</x:v>
      </x:c>
      <x:c r="F8" s="9" t="str">
        <x:v>Player</x:v>
      </x:c>
      <x:c r="G8" s="9" t="str">
        <x:v>Spider-Man</x:v>
      </x:c>
      <x:c r="H8" s="9" t="str">
        <x:v>Spiderman</x:v>
      </x:c>
      <x:c r="I8" s="9" t="str">
        <x:v>https://marvelcdb.com/set/core</x:v>
      </x:c>
      <x:c r="J8" s="9" t="str">
        <x:v>https://es.marvelcdb.com/set/core</x:v>
      </x:c>
    </x:row>
    <x:row r="9" ht="20" customHeight="1">
      <x:c r="A9" s="9" t="str">
        <x:v>Core Set</x:v>
      </x:c>
      <x:c r="B9" s="9" t="str">
        <x:v>Caja básica</x:v>
      </x:c>
      <x:c r="C9" s="9" t="n">
        <x:v>8</x:v>
      </x:c>
      <x:c r="D9" s="9" t="str">
        <x:v>Web-Shooter</x:v>
      </x:c>
      <x:c r="E9" s="9" t="str">
        <x:v>Lanzarredes</x:v>
      </x:c>
      <x:c r="F9" s="9" t="str">
        <x:v>Player</x:v>
      </x:c>
      <x:c r="G9" s="9" t="str">
        <x:v>Spider-Man</x:v>
      </x:c>
      <x:c r="H9" s="9" t="str">
        <x:v>Spiderman</x:v>
      </x:c>
      <x:c r="I9" s="9" t="str">
        <x:v>https://marvelcdb.com/set/core</x:v>
      </x:c>
      <x:c r="J9" s="9" t="str">
        <x:v>https://es.marvelcdb.com/set/core</x:v>
      </x:c>
    </x:row>
    <x:row r="10" ht="20" customHeight="1">
      <x:c r="A10" s="9" t="str">
        <x:v>Core Set</x:v>
      </x:c>
      <x:c r="B10" s="9" t="str">
        <x:v>Caja básica</x:v>
      </x:c>
      <x:c r="C10" s="9" t="n">
        <x:v>9</x:v>
      </x:c>
      <x:c r="D10" s="9" t="str">
        <x:v>Webbed Up</x:v>
      </x:c>
      <x:c r="E10" s="9" t="str">
        <x:v>Envuelto en telaraña</x:v>
      </x:c>
      <x:c r="F10" s="9" t="str">
        <x:v>Player</x:v>
      </x:c>
      <x:c r="G10" s="9" t="str">
        <x:v>Spider-Man</x:v>
      </x:c>
      <x:c r="H10" s="9" t="str">
        <x:v>Spiderman</x:v>
      </x:c>
      <x:c r="I10" s="9" t="str">
        <x:v>https://marvelcdb.com/set/core</x:v>
      </x:c>
      <x:c r="J10" s="9" t="str">
        <x:v>https://es.marvelcdb.com/set/core</x:v>
      </x:c>
    </x:row>
    <x:row r="11" ht="20" customHeight="1">
      <x:c r="A11" s="9" t="str">
        <x:v>Core Set</x:v>
      </x:c>
      <x:c r="B11" s="9" t="str">
        <x:v>Caja básica</x:v>
      </x:c>
      <x:c r="C11" s="9" t="n">
        <x:v>10</x:v>
      </x:c>
      <x:c r="D11" s="9" t="str">
        <x:v>Captain Marvel</x:v>
      </x:c>
      <x:c r="E11" s="9" t="str">
        <x:v>Capitana Marvel</x:v>
      </x:c>
      <x:c r="F11" s="9" t="str">
        <x:v>Player</x:v>
      </x:c>
      <x:c r="G11" s="9" t="str">
        <x:v>Captain Marvel</x:v>
      </x:c>
      <x:c r="H11" s="9" t="str">
        <x:v>Capitana Marvel</x:v>
      </x:c>
      <x:c r="I11" s="9" t="str">
        <x:v>https://marvelcdb.com/set/core</x:v>
      </x:c>
      <x:c r="J11" s="9" t="str">
        <x:v>https://es.marvelcdb.com/set/core</x:v>
      </x:c>
    </x:row>
    <x:row r="12" ht="20" customHeight="1">
      <x:c r="A12" s="9" t="str">
        <x:v>Core Set</x:v>
      </x:c>
      <x:c r="B12" s="9" t="str">
        <x:v>Caja básica</x:v>
      </x:c>
      <x:c r="C12" s="9" t="n">
        <x:v>11</x:v>
      </x:c>
      <x:c r="D12" s="9" t="str">
        <x:v>Spider-Woman: Jessica Drew</x:v>
      </x:c>
      <x:c r="E12" s="9" t="str">
        <x:v>Spiderwoman: Jessica Drew</x:v>
      </x:c>
      <x:c r="F12" s="9" t="str">
        <x:v>Player</x:v>
      </x:c>
      <x:c r="G12" s="9" t="str">
        <x:v>Captain Marvel</x:v>
      </x:c>
      <x:c r="H12" s="9" t="str">
        <x:v>Capitana Marvel</x:v>
      </x:c>
      <x:c r="I12" s="9" t="str">
        <x:v>https://marvelcdb.com/set/core</x:v>
      </x:c>
      <x:c r="J12" s="9" t="str">
        <x:v>https://es.marvelcdb.com/set/core</x:v>
      </x:c>
    </x:row>
    <x:row r="13" ht="20" customHeight="1">
      <x:c r="A13" s="9" t="str">
        <x:v>Core Set</x:v>
      </x:c>
      <x:c r="B13" s="9" t="str">
        <x:v>Caja básica</x:v>
      </x:c>
      <x:c r="C13" s="9" t="n">
        <x:v>12</x:v>
      </x:c>
      <x:c r="D13" s="9" t="str">
        <x:v>Crisis Interdiction</x:v>
      </x:c>
      <x:c r="E13" s="9" t="str">
        <x:v>Evitar una crisis</x:v>
      </x:c>
      <x:c r="F13" s="9" t="str">
        <x:v>Player</x:v>
      </x:c>
      <x:c r="G13" s="9" t="str">
        <x:v>Captain Marvel</x:v>
      </x:c>
      <x:c r="H13" s="9" t="str">
        <x:v>Capitana Marvel</x:v>
      </x:c>
      <x:c r="I13" s="9" t="str">
        <x:v>https://marvelcdb.com/set/core</x:v>
      </x:c>
      <x:c r="J13" s="9" t="str">
        <x:v>https://es.marvelcdb.com/set/core</x:v>
      </x:c>
    </x:row>
    <x:row r="14" ht="20" customHeight="1">
      <x:c r="A14" s="9" t="str">
        <x:v>Core Set</x:v>
      </x:c>
      <x:c r="B14" s="9" t="str">
        <x:v>Caja básica</x:v>
      </x:c>
      <x:c r="C14" s="9" t="n">
        <x:v>13</x:v>
      </x:c>
      <x:c r="D14" s="9" t="str">
        <x:v>Photonic Blast</x:v>
      </x:c>
      <x:c r="E14" s="9" t="str">
        <x:v>Rayo fotónico</x:v>
      </x:c>
      <x:c r="F14" s="9" t="str">
        <x:v>Player</x:v>
      </x:c>
      <x:c r="G14" s="9" t="str">
        <x:v>Captain Marvel</x:v>
      </x:c>
      <x:c r="H14" s="9" t="str">
        <x:v>Capitana Marvel</x:v>
      </x:c>
      <x:c r="I14" s="9" t="str">
        <x:v>https://marvelcdb.com/set/core</x:v>
      </x:c>
      <x:c r="J14" s="9" t="str">
        <x:v>https://es.marvelcdb.com/set/core</x:v>
      </x:c>
    </x:row>
    <x:row r="15" ht="20" customHeight="1">
      <x:c r="A15" s="9" t="str">
        <x:v>Core Set</x:v>
      </x:c>
      <x:c r="B15" s="9" t="str">
        <x:v>Caja básica</x:v>
      </x:c>
      <x:c r="C15" s="9" t="n">
        <x:v>14</x:v>
      </x:c>
      <x:c r="D15" s="9" t="str">
        <x:v>Energy Absorption</x:v>
      </x:c>
      <x:c r="E15" s="9" t="str">
        <x:v>Absorción de energía</x:v>
      </x:c>
      <x:c r="F15" s="9" t="str">
        <x:v>Player</x:v>
      </x:c>
      <x:c r="G15" s="9" t="str">
        <x:v>Captain Marvel</x:v>
      </x:c>
      <x:c r="H15" s="9" t="str">
        <x:v>Capitana Marvel</x:v>
      </x:c>
      <x:c r="I15" s="9" t="str">
        <x:v>https://marvelcdb.com/set/core</x:v>
      </x:c>
      <x:c r="J15" s="9" t="str">
        <x:v>https://es.marvelcdb.com/set/core</x:v>
      </x:c>
    </x:row>
    <x:row r="16" ht="20" customHeight="1">
      <x:c r="A16" s="9" t="str">
        <x:v>Core Set</x:v>
      </x:c>
      <x:c r="B16" s="9" t="str">
        <x:v>Caja básica</x:v>
      </x:c>
      <x:c r="C16" s="9" t="n">
        <x:v>15</x:v>
      </x:c>
      <x:c r="D16" s="9" t="str">
        <x:v>Alpha Flight Station</x:v>
      </x:c>
      <x:c r="E16" s="9" t="str">
        <x:v>Base orbital de Alpha Flight</x:v>
      </x:c>
      <x:c r="F16" s="9" t="str">
        <x:v>Player</x:v>
      </x:c>
      <x:c r="G16" s="9" t="str">
        <x:v>Captain Marvel</x:v>
      </x:c>
      <x:c r="H16" s="9" t="str">
        <x:v>Capitana Marvel</x:v>
      </x:c>
      <x:c r="I16" s="9" t="str">
        <x:v>https://marvelcdb.com/set/core</x:v>
      </x:c>
      <x:c r="J16" s="9" t="str">
        <x:v>https://es.marvelcdb.com/set/core</x:v>
      </x:c>
    </x:row>
    <x:row r="17" ht="20" customHeight="1">
      <x:c r="A17" s="9" t="str">
        <x:v>Core Set</x:v>
      </x:c>
      <x:c r="B17" s="9" t="str">
        <x:v>Caja básica</x:v>
      </x:c>
      <x:c r="C17" s="9" t="n">
        <x:v>16</x:v>
      </x:c>
      <x:c r="D17" s="9" t="str">
        <x:v>Captain Marvel's Helmet</x:v>
      </x:c>
      <x:c r="E17" s="9" t="str">
        <x:v>Casco de la Capitana Marvel</x:v>
      </x:c>
      <x:c r="F17" s="9" t="str">
        <x:v>Player</x:v>
      </x:c>
      <x:c r="G17" s="9" t="str">
        <x:v>Captain Marvel</x:v>
      </x:c>
      <x:c r="H17" s="9" t="str">
        <x:v>Capitana Marvel</x:v>
      </x:c>
      <x:c r="I17" s="9" t="str">
        <x:v>https://marvelcdb.com/set/core</x:v>
      </x:c>
      <x:c r="J17" s="9" t="str">
        <x:v>https://es.marvelcdb.com/set/core</x:v>
      </x:c>
    </x:row>
    <x:row r="18" ht="20" customHeight="1">
      <x:c r="A18" s="9" t="str">
        <x:v>Core Set</x:v>
      </x:c>
      <x:c r="B18" s="9" t="str">
        <x:v>Caja básica</x:v>
      </x:c>
      <x:c r="C18" s="9" t="n">
        <x:v>17</x:v>
      </x:c>
      <x:c r="D18" s="9" t="str">
        <x:v>Cosmic Flight</x:v>
      </x:c>
      <x:c r="E18" s="9" t="str">
        <x:v>Vuelo cósmico</x:v>
      </x:c>
      <x:c r="F18" s="9" t="str">
        <x:v>Player</x:v>
      </x:c>
      <x:c r="G18" s="9" t="str">
        <x:v>Captain Marvel</x:v>
      </x:c>
      <x:c r="H18" s="9" t="str">
        <x:v>Capitana Marvel</x:v>
      </x:c>
      <x:c r="I18" s="9" t="str">
        <x:v>https://marvelcdb.com/set/core</x:v>
      </x:c>
      <x:c r="J18" s="9" t="str">
        <x:v>https://es.marvelcdb.com/set/core</x:v>
      </x:c>
    </x:row>
    <x:row r="19" ht="20" customHeight="1">
      <x:c r="A19" s="9" t="str">
        <x:v>Core Set</x:v>
      </x:c>
      <x:c r="B19" s="9" t="str">
        <x:v>Caja básica</x:v>
      </x:c>
      <x:c r="C19" s="9" t="n">
        <x:v>18</x:v>
      </x:c>
      <x:c r="D19" s="9" t="str">
        <x:v>Energy Channel</x:v>
      </x:c>
      <x:c r="E19" s="9" t="str">
        <x:v>Canalizar energía</x:v>
      </x:c>
      <x:c r="F19" s="9" t="str">
        <x:v>Player</x:v>
      </x:c>
      <x:c r="G19" s="9" t="str">
        <x:v>Captain Marvel</x:v>
      </x:c>
      <x:c r="H19" s="9" t="str">
        <x:v>Capitana Marvel</x:v>
      </x:c>
      <x:c r="I19" s="9" t="str">
        <x:v>https://marvelcdb.com/set/core</x:v>
      </x:c>
      <x:c r="J19" s="9" t="str">
        <x:v>https://es.marvelcdb.com/set/core</x:v>
      </x:c>
    </x:row>
    <x:row r="20" ht="20" customHeight="1">
      <x:c r="A20" s="9" t="str">
        <x:v>Core Set</x:v>
      </x:c>
      <x:c r="B20" s="9" t="str">
        <x:v>Caja básica</x:v>
      </x:c>
      <x:c r="C20" s="9" t="n">
        <x:v>19</x:v>
      </x:c>
      <x:c r="D20" s="9" t="str">
        <x:v>She-Hulk</x:v>
      </x:c>
      <x:c r="E20" s="9" t="str">
        <x:v>Hulka</x:v>
      </x:c>
      <x:c r="F20" s="9" t="str">
        <x:v>Player</x:v>
      </x:c>
      <x:c r="G20" s="9" t="str">
        <x:v>She-Hulk</x:v>
      </x:c>
      <x:c r="H20" s="9" t="str">
        <x:v>Hulka</x:v>
      </x:c>
      <x:c r="I20" s="9" t="str">
        <x:v>https://marvelcdb.com/set/core</x:v>
      </x:c>
      <x:c r="J20" s="9" t="str">
        <x:v>https://es.marvelcdb.com/set/core</x:v>
      </x:c>
    </x:row>
    <x:row r="21" ht="20" customHeight="1">
      <x:c r="A21" s="9" t="str">
        <x:v>Core Set</x:v>
      </x:c>
      <x:c r="B21" s="9" t="str">
        <x:v>Caja básica</x:v>
      </x:c>
      <x:c r="C21" s="9" t="n">
        <x:v>20</x:v>
      </x:c>
      <x:c r="D21" s="9" t="str">
        <x:v>Hellcat: Patsy Walker</x:v>
      </x:c>
      <x:c r="E21" s="9" t="str">
        <x:v>Gata Infernal: Patsy Walker</x:v>
      </x:c>
      <x:c r="F21" s="9" t="str">
        <x:v>Player</x:v>
      </x:c>
      <x:c r="G21" s="9" t="str">
        <x:v>She-Hulk</x:v>
      </x:c>
      <x:c r="H21" s="9" t="str">
        <x:v>Hulka</x:v>
      </x:c>
      <x:c r="I21" s="9" t="str">
        <x:v>https://marvelcdb.com/set/core</x:v>
      </x:c>
      <x:c r="J21" s="9" t="str">
        <x:v>https://es.marvelcdb.com/set/core</x:v>
      </x:c>
    </x:row>
    <x:row r="22" ht="20" customHeight="1">
      <x:c r="A22" s="9" t="str">
        <x:v>Core Set</x:v>
      </x:c>
      <x:c r="B22" s="9" t="str">
        <x:v>Caja básica</x:v>
      </x:c>
      <x:c r="C22" s="9" t="n">
        <x:v>21</x:v>
      </x:c>
      <x:c r="D22" s="9" t="str">
        <x:v>Gamma Slam</x:v>
      </x:c>
      <x:c r="E22" s="9" t="str">
        <x:v>Apisonadora gamma</x:v>
      </x:c>
      <x:c r="F22" s="9" t="str">
        <x:v>Player</x:v>
      </x:c>
      <x:c r="G22" s="9" t="str">
        <x:v>She-Hulk</x:v>
      </x:c>
      <x:c r="H22" s="9" t="str">
        <x:v>Hulka</x:v>
      </x:c>
      <x:c r="I22" s="9" t="str">
        <x:v>https://marvelcdb.com/set/core</x:v>
      </x:c>
      <x:c r="J22" s="9" t="str">
        <x:v>https://es.marvelcdb.com/set/core</x:v>
      </x:c>
    </x:row>
    <x:row r="23" ht="20" customHeight="1">
      <x:c r="A23" s="9" t="str">
        <x:v>Core Set</x:v>
      </x:c>
      <x:c r="B23" s="9" t="str">
        <x:v>Caja básica</x:v>
      </x:c>
      <x:c r="C23" s="9" t="n">
        <x:v>22</x:v>
      </x:c>
      <x:c r="D23" s="9" t="str">
        <x:v>Ground Stomp</x:v>
      </x:c>
      <x:c r="E23" s="9" t="str">
        <x:v>Pisotón</x:v>
      </x:c>
      <x:c r="F23" s="9" t="str">
        <x:v>Player</x:v>
      </x:c>
      <x:c r="G23" s="9" t="str">
        <x:v>She-Hulk</x:v>
      </x:c>
      <x:c r="H23" s="9" t="str">
        <x:v>Hulka</x:v>
      </x:c>
      <x:c r="I23" s="9" t="str">
        <x:v>https://marvelcdb.com/set/core</x:v>
      </x:c>
      <x:c r="J23" s="9" t="str">
        <x:v>https://es.marvelcdb.com/set/core</x:v>
      </x:c>
    </x:row>
    <x:row r="24" ht="20" customHeight="1">
      <x:c r="A24" s="9" t="str">
        <x:v>Core Set</x:v>
      </x:c>
      <x:c r="B24" s="9" t="str">
        <x:v>Caja básica</x:v>
      </x:c>
      <x:c r="C24" s="9" t="n">
        <x:v>23</x:v>
      </x:c>
      <x:c r="D24" s="9" t="str">
        <x:v>Legal Practice</x:v>
      </x:c>
      <x:c r="E24" s="9" t="str">
        <x:v>Proceso judicial</x:v>
      </x:c>
      <x:c r="F24" s="9" t="str">
        <x:v>Player</x:v>
      </x:c>
      <x:c r="G24" s="9" t="str">
        <x:v>She-Hulk</x:v>
      </x:c>
      <x:c r="H24" s="9" t="str">
        <x:v>Hulka</x:v>
      </x:c>
      <x:c r="I24" s="9" t="str">
        <x:v>https://marvelcdb.com/set/core</x:v>
      </x:c>
      <x:c r="J24" s="9" t="str">
        <x:v>https://es.marvelcdb.com/set/core</x:v>
      </x:c>
    </x:row>
    <x:row r="25" ht="20" customHeight="1">
      <x:c r="A25" s="9" t="str">
        <x:v>Core Set</x:v>
      </x:c>
      <x:c r="B25" s="9" t="str">
        <x:v>Caja básica</x:v>
      </x:c>
      <x:c r="C25" s="9" t="n">
        <x:v>24</x:v>
      </x:c>
      <x:c r="D25" s="9" t="str">
        <x:v>One-Two Punch</x:v>
      </x:c>
      <x:c r="E25" s="9" t="str">
        <x:v>Sucesión de puñetazos</x:v>
      </x:c>
      <x:c r="F25" s="9" t="str">
        <x:v>Player</x:v>
      </x:c>
      <x:c r="G25" s="9" t="str">
        <x:v>She-Hulk</x:v>
      </x:c>
      <x:c r="H25" s="9" t="str">
        <x:v>Hulka</x:v>
      </x:c>
      <x:c r="I25" s="9" t="str">
        <x:v>https://marvelcdb.com/set/core</x:v>
      </x:c>
      <x:c r="J25" s="9" t="str">
        <x:v>https://es.marvelcdb.com/set/core</x:v>
      </x:c>
    </x:row>
    <x:row r="26" ht="20" customHeight="1">
      <x:c r="A26" s="9" t="str">
        <x:v>Core Set</x:v>
      </x:c>
      <x:c r="B26" s="9" t="str">
        <x:v>Caja básica</x:v>
      </x:c>
      <x:c r="C26" s="9" t="n">
        <x:v>25</x:v>
      </x:c>
      <x:c r="D26" s="9" t="str">
        <x:v>Split Personality</x:v>
      </x:c>
      <x:c r="E26" s="9" t="str">
        <x:v>Doble personalidad</x:v>
      </x:c>
      <x:c r="F26" s="9" t="str">
        <x:v>Player</x:v>
      </x:c>
      <x:c r="G26" s="9" t="str">
        <x:v>She-Hulk</x:v>
      </x:c>
      <x:c r="H26" s="9" t="str">
        <x:v>Hulka</x:v>
      </x:c>
      <x:c r="I26" s="9" t="str">
        <x:v>https://marvelcdb.com/set/core</x:v>
      </x:c>
      <x:c r="J26" s="9" t="str">
        <x:v>https://es.marvelcdb.com/set/core</x:v>
      </x:c>
    </x:row>
    <x:row r="27" ht="20" customHeight="1">
      <x:c r="A27" s="9" t="str">
        <x:v>Core Set</x:v>
      </x:c>
      <x:c r="B27" s="9" t="str">
        <x:v>Caja básica</x:v>
      </x:c>
      <x:c r="C27" s="9" t="n">
        <x:v>26</x:v>
      </x:c>
      <x:c r="D27" s="9" t="str">
        <x:v>Superhuman Law Division</x:v>
      </x:c>
      <x:c r="E27" s="9" t="str">
        <x:v>División de Derecho Superhumano</x:v>
      </x:c>
      <x:c r="F27" s="9" t="str">
        <x:v>Player</x:v>
      </x:c>
      <x:c r="G27" s="9" t="str">
        <x:v>She-Hulk</x:v>
      </x:c>
      <x:c r="H27" s="9" t="str">
        <x:v>Hulka</x:v>
      </x:c>
      <x:c r="I27" s="9" t="str">
        <x:v>https://marvelcdb.com/set/core</x:v>
      </x:c>
      <x:c r="J27" s="9" t="str">
        <x:v>https://es.marvelcdb.com/set/core</x:v>
      </x:c>
    </x:row>
    <x:row r="28" ht="20" customHeight="1">
      <x:c r="A28" s="9" t="str">
        <x:v>Core Set</x:v>
      </x:c>
      <x:c r="B28" s="9" t="str">
        <x:v>Caja básica</x:v>
      </x:c>
      <x:c r="C28" s="9" t="n">
        <x:v>27</x:v>
      </x:c>
      <x:c r="D28" s="9" t="str">
        <x:v>Focused Rage</x:v>
      </x:c>
      <x:c r="E28" s="9" t="str">
        <x:v>Furia concentrada</x:v>
      </x:c>
      <x:c r="F28" s="9" t="str">
        <x:v>Player</x:v>
      </x:c>
      <x:c r="G28" s="9" t="str">
        <x:v>She-Hulk</x:v>
      </x:c>
      <x:c r="H28" s="9" t="str">
        <x:v>Hulka</x:v>
      </x:c>
      <x:c r="I28" s="9" t="str">
        <x:v>https://marvelcdb.com/set/core</x:v>
      </x:c>
      <x:c r="J28" s="9" t="str">
        <x:v>https://es.marvelcdb.com/set/core</x:v>
      </x:c>
    </x:row>
    <x:row r="29" ht="20" customHeight="1">
      <x:c r="A29" s="9" t="str">
        <x:v>Core Set</x:v>
      </x:c>
      <x:c r="B29" s="9" t="str">
        <x:v>Caja básica</x:v>
      </x:c>
      <x:c r="C29" s="9" t="n">
        <x:v>28</x:v>
      </x:c>
      <x:c r="D29" s="9" t="str">
        <x:v>Superhuman Strength</x:v>
      </x:c>
      <x:c r="E29" s="9" t="str">
        <x:v>Fuerza sobrehumana</x:v>
      </x:c>
      <x:c r="F29" s="9" t="str">
        <x:v>Player</x:v>
      </x:c>
      <x:c r="G29" s="9" t="str">
        <x:v>She-Hulk</x:v>
      </x:c>
      <x:c r="H29" s="9" t="str">
        <x:v>Hulka</x:v>
      </x:c>
      <x:c r="I29" s="9" t="str">
        <x:v>https://marvelcdb.com/set/core</x:v>
      </x:c>
      <x:c r="J29" s="9" t="str">
        <x:v>https://es.marvelcdb.com/set/core</x:v>
      </x:c>
    </x:row>
    <x:row r="30" ht="20" customHeight="1">
      <x:c r="A30" s="9" t="str">
        <x:v>Core Set</x:v>
      </x:c>
      <x:c r="B30" s="9" t="str">
        <x:v>Caja básica</x:v>
      </x:c>
      <x:c r="C30" s="9" t="n">
        <x:v>29</x:v>
      </x:c>
      <x:c r="D30" s="9" t="str">
        <x:v>Iron Man</x:v>
      </x:c>
      <x:c r="E30" s="9" t="str">
        <x:v>Iron Man</x:v>
      </x:c>
      <x:c r="F30" s="9" t="str">
        <x:v>Player</x:v>
      </x:c>
      <x:c r="G30" s="9" t="str">
        <x:v>Iron Man</x:v>
      </x:c>
      <x:c r="H30" s="9" t="str">
        <x:v>Iron Man</x:v>
      </x:c>
      <x:c r="I30" s="9" t="str">
        <x:v>https://marvelcdb.com/set/core</x:v>
      </x:c>
      <x:c r="J30" s="9" t="str">
        <x:v>https://es.marvelcdb.com/set/core</x:v>
      </x:c>
    </x:row>
    <x:row r="31" ht="20" customHeight="1">
      <x:c r="A31" s="9" t="str">
        <x:v>Core Set</x:v>
      </x:c>
      <x:c r="B31" s="9" t="str">
        <x:v>Caja básica</x:v>
      </x:c>
      <x:c r="C31" s="9" t="n">
        <x:v>30</x:v>
      </x:c>
      <x:c r="D31" s="9" t="str">
        <x:v>War Machine: James Rhodes</x:v>
      </x:c>
      <x:c r="E31" s="9" t="str">
        <x:v>Máquina de Guerra: James Rhodes</x:v>
      </x:c>
      <x:c r="F31" s="9" t="str">
        <x:v>Player</x:v>
      </x:c>
      <x:c r="G31" s="9" t="str">
        <x:v>Iron Man</x:v>
      </x:c>
      <x:c r="H31" s="9" t="str">
        <x:v>Iron Man</x:v>
      </x:c>
      <x:c r="I31" s="9" t="str">
        <x:v>https://marvelcdb.com/set/core</x:v>
      </x:c>
      <x:c r="J31" s="9" t="str">
        <x:v>https://es.marvelcdb.com/set/core</x:v>
      </x:c>
    </x:row>
    <x:row r="32" ht="20" customHeight="1">
      <x:c r="A32" s="9" t="str">
        <x:v>Core Set</x:v>
      </x:c>
      <x:c r="B32" s="9" t="str">
        <x:v>Caja básica</x:v>
      </x:c>
      <x:c r="C32" s="9" t="n">
        <x:v>31</x:v>
      </x:c>
      <x:c r="D32" s="9" t="str">
        <x:v>Repulsor Blast</x:v>
      </x:c>
      <x:c r="E32" s="9" t="str">
        <x:v>Rayo repulsor</x:v>
      </x:c>
      <x:c r="F32" s="9" t="str">
        <x:v>Player</x:v>
      </x:c>
      <x:c r="G32" s="9" t="str">
        <x:v>Iron Man</x:v>
      </x:c>
      <x:c r="H32" s="9" t="str">
        <x:v>Iron Man</x:v>
      </x:c>
      <x:c r="I32" s="9" t="str">
        <x:v>https://marvelcdb.com/set/core</x:v>
      </x:c>
      <x:c r="J32" s="9" t="str">
        <x:v>https://es.marvelcdb.com/set/core</x:v>
      </x:c>
    </x:row>
    <x:row r="33" ht="20" customHeight="1">
      <x:c r="A33" s="9" t="str">
        <x:v>Core Set</x:v>
      </x:c>
      <x:c r="B33" s="9" t="str">
        <x:v>Caja básica</x:v>
      </x:c>
      <x:c r="C33" s="9" t="n">
        <x:v>32</x:v>
      </x:c>
      <x:c r="D33" s="9" t="str">
        <x:v>Supersonic Punch</x:v>
      </x:c>
      <x:c r="E33" s="9" t="str">
        <x:v>Puñetazo supersónico</x:v>
      </x:c>
      <x:c r="F33" s="9" t="str">
        <x:v>Player</x:v>
      </x:c>
      <x:c r="G33" s="9" t="str">
        <x:v>Iron Man</x:v>
      </x:c>
      <x:c r="H33" s="9" t="str">
        <x:v>Iron Man</x:v>
      </x:c>
      <x:c r="I33" s="9" t="str">
        <x:v>https://marvelcdb.com/set/core</x:v>
      </x:c>
      <x:c r="J33" s="9" t="str">
        <x:v>https://es.marvelcdb.com/set/core</x:v>
      </x:c>
    </x:row>
    <x:row r="34" ht="20" customHeight="1">
      <x:c r="A34" s="9" t="str">
        <x:v>Core Set</x:v>
      </x:c>
      <x:c r="B34" s="9" t="str">
        <x:v>Caja básica</x:v>
      </x:c>
      <x:c r="C34" s="9" t="n">
        <x:v>33</x:v>
      </x:c>
      <x:c r="D34" s="9" t="str">
        <x:v>Pepper Potts</x:v>
      </x:c>
      <x:c r="E34" s="9" t="str">
        <x:v>Pepper Potts</x:v>
      </x:c>
      <x:c r="F34" s="9" t="str">
        <x:v>Player</x:v>
      </x:c>
      <x:c r="G34" s="9" t="str">
        <x:v>Iron Man</x:v>
      </x:c>
      <x:c r="H34" s="9" t="str">
        <x:v>Iron Man</x:v>
      </x:c>
      <x:c r="I34" s="9" t="str">
        <x:v>https://marvelcdb.com/set/core</x:v>
      </x:c>
      <x:c r="J34" s="9" t="str">
        <x:v>https://es.marvelcdb.com/set/core</x:v>
      </x:c>
    </x:row>
    <x:row r="35" ht="20" customHeight="1">
      <x:c r="A35" s="9" t="str">
        <x:v>Core Set</x:v>
      </x:c>
      <x:c r="B35" s="9" t="str">
        <x:v>Caja básica</x:v>
      </x:c>
      <x:c r="C35" s="9" t="n">
        <x:v>34</x:v>
      </x:c>
      <x:c r="D35" s="9" t="str">
        <x:v>Stark Tower</x:v>
      </x:c>
      <x:c r="E35" s="9" t="str">
        <x:v>Torre Stark</x:v>
      </x:c>
      <x:c r="F35" s="9" t="str">
        <x:v>Player</x:v>
      </x:c>
      <x:c r="G35" s="9" t="str">
        <x:v>Iron Man</x:v>
      </x:c>
      <x:c r="H35" s="9" t="str">
        <x:v>Iron Man</x:v>
      </x:c>
      <x:c r="I35" s="9" t="str">
        <x:v>https://marvelcdb.com/set/core</x:v>
      </x:c>
      <x:c r="J35" s="9" t="str">
        <x:v>https://es.marvelcdb.com/set/core</x:v>
      </x:c>
    </x:row>
    <x:row r="36" ht="20" customHeight="1">
      <x:c r="A36" s="9" t="str">
        <x:v>Core Set</x:v>
      </x:c>
      <x:c r="B36" s="9" t="str">
        <x:v>Caja básica</x:v>
      </x:c>
      <x:c r="C36" s="9" t="n">
        <x:v>35</x:v>
      </x:c>
      <x:c r="D36" s="9" t="str">
        <x:v>Arc Reactor</x:v>
      </x:c>
      <x:c r="E36" s="9" t="str">
        <x:v>Reactor ARK</x:v>
      </x:c>
      <x:c r="F36" s="9" t="str">
        <x:v>Player</x:v>
      </x:c>
      <x:c r="G36" s="9" t="str">
        <x:v>Iron Man</x:v>
      </x:c>
      <x:c r="H36" s="9" t="str">
        <x:v>Iron Man</x:v>
      </x:c>
      <x:c r="I36" s="9" t="str">
        <x:v>https://marvelcdb.com/set/core</x:v>
      </x:c>
      <x:c r="J36" s="9" t="str">
        <x:v>https://es.marvelcdb.com/set/core</x:v>
      </x:c>
    </x:row>
    <x:row r="37" ht="20" customHeight="1">
      <x:c r="A37" s="9" t="str">
        <x:v>Core Set</x:v>
      </x:c>
      <x:c r="B37" s="9" t="str">
        <x:v>Caja básica</x:v>
      </x:c>
      <x:c r="C37" s="9" t="n">
        <x:v>36</x:v>
      </x:c>
      <x:c r="D37" s="9" t="str">
        <x:v>Mark V Armor</x:v>
      </x:c>
      <x:c r="E37" s="9" t="str">
        <x:v>Armadura Mark V</x:v>
      </x:c>
      <x:c r="F37" s="9" t="str">
        <x:v>Player</x:v>
      </x:c>
      <x:c r="G37" s="9" t="str">
        <x:v>Iron Man</x:v>
      </x:c>
      <x:c r="H37" s="9" t="str">
        <x:v>Iron Man</x:v>
      </x:c>
      <x:c r="I37" s="9" t="str">
        <x:v>https://marvelcdb.com/set/core</x:v>
      </x:c>
      <x:c r="J37" s="9" t="str">
        <x:v>https://es.marvelcdb.com/set/core</x:v>
      </x:c>
    </x:row>
    <x:row r="38" ht="20" customHeight="1">
      <x:c r="A38" s="9" t="str">
        <x:v>Core Set</x:v>
      </x:c>
      <x:c r="B38" s="9" t="str">
        <x:v>Caja básica</x:v>
      </x:c>
      <x:c r="C38" s="9" t="n">
        <x:v>37</x:v>
      </x:c>
      <x:c r="D38" s="9" t="str">
        <x:v>Mark V Helmet</x:v>
      </x:c>
      <x:c r="E38" s="9" t="str">
        <x:v>Casco Mark V</x:v>
      </x:c>
      <x:c r="F38" s="9" t="str">
        <x:v>Player</x:v>
      </x:c>
      <x:c r="G38" s="9" t="str">
        <x:v>Iron Man</x:v>
      </x:c>
      <x:c r="H38" s="9" t="str">
        <x:v>Iron Man</x:v>
      </x:c>
      <x:c r="I38" s="9" t="str">
        <x:v>https://marvelcdb.com/set/core</x:v>
      </x:c>
      <x:c r="J38" s="9" t="str">
        <x:v>https://es.marvelcdb.com/set/core</x:v>
      </x:c>
    </x:row>
    <x:row r="39" ht="20" customHeight="1">
      <x:c r="A39" s="9" t="str">
        <x:v>Core Set</x:v>
      </x:c>
      <x:c r="B39" s="9" t="str">
        <x:v>Caja básica</x:v>
      </x:c>
      <x:c r="C39" s="9" t="n">
        <x:v>38</x:v>
      </x:c>
      <x:c r="D39" s="9" t="str">
        <x:v>Powered Gauntlets</x:v>
      </x:c>
      <x:c r="E39" s="9" t="str">
        <x:v>Guanteletes potenciados</x:v>
      </x:c>
      <x:c r="F39" s="9" t="str">
        <x:v>Player</x:v>
      </x:c>
      <x:c r="G39" s="9" t="str">
        <x:v>Iron Man</x:v>
      </x:c>
      <x:c r="H39" s="9" t="str">
        <x:v>Iron Man</x:v>
      </x:c>
      <x:c r="I39" s="9" t="str">
        <x:v>https://marvelcdb.com/set/core</x:v>
      </x:c>
      <x:c r="J39" s="9" t="str">
        <x:v>https://es.marvelcdb.com/set/core</x:v>
      </x:c>
    </x:row>
    <x:row r="40" ht="20" customHeight="1">
      <x:c r="A40" s="9" t="str">
        <x:v>Core Set</x:v>
      </x:c>
      <x:c r="B40" s="9" t="str">
        <x:v>Caja básica</x:v>
      </x:c>
      <x:c r="C40" s="9" t="n">
        <x:v>39</x:v>
      </x:c>
      <x:c r="D40" s="9" t="str">
        <x:v>Rocket Boots</x:v>
      </x:c>
      <x:c r="E40" s="9" t="str">
        <x:v>Botas propulsoras</x:v>
      </x:c>
      <x:c r="F40" s="9" t="str">
        <x:v>Player</x:v>
      </x:c>
      <x:c r="G40" s="9" t="str">
        <x:v>Iron Man</x:v>
      </x:c>
      <x:c r="H40" s="9" t="str">
        <x:v>Iron Man</x:v>
      </x:c>
      <x:c r="I40" s="9" t="str">
        <x:v>https://marvelcdb.com/set/core</x:v>
      </x:c>
      <x:c r="J40" s="9" t="str">
        <x:v>https://es.marvelcdb.com/set/core</x:v>
      </x:c>
    </x:row>
    <x:row r="41" ht="20" customHeight="1">
      <x:c r="A41" s="9" t="str">
        <x:v>Core Set</x:v>
      </x:c>
      <x:c r="B41" s="9" t="str">
        <x:v>Caja básica</x:v>
      </x:c>
      <x:c r="C41" s="9" t="n">
        <x:v>40</x:v>
      </x:c>
      <x:c r="D41" s="9" t="str">
        <x:v>Black Panther</x:v>
      </x:c>
      <x:c r="E41" s="9" t="str">
        <x:v>Pantera Negra</x:v>
      </x:c>
      <x:c r="F41" s="9" t="str">
        <x:v>Player</x:v>
      </x:c>
      <x:c r="G41" s="9" t="str">
        <x:v>Black Panther</x:v>
      </x:c>
      <x:c r="H41" s="9" t="str">
        <x:v>Pantera Negra</x:v>
      </x:c>
      <x:c r="I41" s="9" t="str">
        <x:v>https://marvelcdb.com/set/core</x:v>
      </x:c>
      <x:c r="J41" s="9" t="str">
        <x:v>https://es.marvelcdb.com/set/core</x:v>
      </x:c>
    </x:row>
    <x:row r="42" ht="20" customHeight="1">
      <x:c r="A42" s="9" t="str">
        <x:v>Core Set</x:v>
      </x:c>
      <x:c r="B42" s="9" t="str">
        <x:v>Caja básica</x:v>
      </x:c>
      <x:c r="C42" s="9" t="n">
        <x:v>41</x:v>
      </x:c>
      <x:c r="D42" s="9" t="str">
        <x:v>Shuri</x:v>
      </x:c>
      <x:c r="E42" s="9" t="str">
        <x:v>Shuri</x:v>
      </x:c>
      <x:c r="F42" s="9" t="str">
        <x:v>Player</x:v>
      </x:c>
      <x:c r="G42" s="9" t="str">
        <x:v>Black Panther</x:v>
      </x:c>
      <x:c r="H42" s="9" t="str">
        <x:v>Pantera Negra</x:v>
      </x:c>
      <x:c r="I42" s="9" t="str">
        <x:v>https://marvelcdb.com/set/core</x:v>
      </x:c>
      <x:c r="J42" s="9" t="str">
        <x:v>https://es.marvelcdb.com/set/core</x:v>
      </x:c>
    </x:row>
    <x:row r="43" ht="20" customHeight="1">
      <x:c r="A43" s="9" t="str">
        <x:v>Core Set</x:v>
      </x:c>
      <x:c r="B43" s="9" t="str">
        <x:v>Caja básica</x:v>
      </x:c>
      <x:c r="C43" s="9" t="n">
        <x:v>42</x:v>
      </x:c>
      <x:c r="D43" s="9" t="str">
        <x:v>Ancestral Knowledge</x:v>
      </x:c>
      <x:c r="E43" s="9" t="str">
        <x:v>Sabiduría ancestral</x:v>
      </x:c>
      <x:c r="F43" s="9" t="str">
        <x:v>Player</x:v>
      </x:c>
      <x:c r="G43" s="9" t="str">
        <x:v>Black Panther</x:v>
      </x:c>
      <x:c r="H43" s="9" t="str">
        <x:v>Pantera Negra</x:v>
      </x:c>
      <x:c r="I43" s="9" t="str">
        <x:v>https://marvelcdb.com/set/core</x:v>
      </x:c>
      <x:c r="J43" s="9" t="str">
        <x:v>https://es.marvelcdb.com/set/core</x:v>
      </x:c>
    </x:row>
    <x:row r="44" ht="20" customHeight="1">
      <x:c r="A44" s="9" t="str">
        <x:v>Core Set</x:v>
      </x:c>
      <x:c r="B44" s="9" t="str">
        <x:v>Caja básica</x:v>
      </x:c>
      <x:c r="C44" s="9" t="n">
        <x:v>43</x:v>
      </x:c>
      <x:c r="D44" s="9" t="str">
        <x:v>Wakanda Forever!</x:v>
      </x:c>
      <x:c r="E44" s="9" t="str">
        <x:v>¡Wakanda por siempre!</x:v>
      </x:c>
      <x:c r="F44" s="9" t="str">
        <x:v>Player</x:v>
      </x:c>
      <x:c r="G44" s="9" t="str">
        <x:v>Black Panther</x:v>
      </x:c>
      <x:c r="H44" s="9" t="str">
        <x:v>Pantera Negra</x:v>
      </x:c>
      <x:c r="I44" s="9" t="str">
        <x:v>https://marvelcdb.com/set/core</x:v>
      </x:c>
      <x:c r="J44" s="9" t="str">
        <x:v>https://es.marvelcdb.com/set/core</x:v>
      </x:c>
    </x:row>
    <x:row r="45" ht="20" customHeight="1">
      <x:c r="A45" s="9" t="str">
        <x:v>Core Set</x:v>
      </x:c>
      <x:c r="B45" s="9" t="str">
        <x:v>Caja básica</x:v>
      </x:c>
      <x:c r="C45" s="9" t="n">
        <x:v>44</x:v>
      </x:c>
      <x:c r="D45" s="9" t="str">
        <x:v>Vibranium</x:v>
      </x:c>
      <x:c r="E45" s="9" t="str">
        <x:v>Vibránium</x:v>
      </x:c>
      <x:c r="F45" s="9" t="str">
        <x:v>Player</x:v>
      </x:c>
      <x:c r="G45" s="9" t="str">
        <x:v>Black Panther</x:v>
      </x:c>
      <x:c r="H45" s="9" t="str">
        <x:v>Pantera Negra</x:v>
      </x:c>
      <x:c r="I45" s="9" t="str">
        <x:v>https://marvelcdb.com/set/core</x:v>
      </x:c>
      <x:c r="J45" s="9" t="str">
        <x:v>https://es.marvelcdb.com/set/core</x:v>
      </x:c>
    </x:row>
    <x:row r="46" ht="20" customHeight="1">
      <x:c r="A46" s="9" t="str">
        <x:v>Core Set</x:v>
      </x:c>
      <x:c r="B46" s="9" t="str">
        <x:v>Caja básica</x:v>
      </x:c>
      <x:c r="C46" s="9" t="n">
        <x:v>45</x:v>
      </x:c>
      <x:c r="D46" s="9" t="str">
        <x:v>The Golden City</x:v>
      </x:c>
      <x:c r="E46" s="9" t="str">
        <x:v>La Ciudad Dorada</x:v>
      </x:c>
      <x:c r="F46" s="9" t="str">
        <x:v>Player</x:v>
      </x:c>
      <x:c r="G46" s="9" t="str">
        <x:v>Black Panther</x:v>
      </x:c>
      <x:c r="H46" s="9" t="str">
        <x:v>Pantera Negra</x:v>
      </x:c>
      <x:c r="I46" s="9" t="str">
        <x:v>https://marvelcdb.com/set/core</x:v>
      </x:c>
      <x:c r="J46" s="9" t="str">
        <x:v>https://es.marvelcdb.com/set/core</x:v>
      </x:c>
    </x:row>
    <x:row r="47" ht="20" customHeight="1">
      <x:c r="A47" s="9" t="str">
        <x:v>Core Set</x:v>
      </x:c>
      <x:c r="B47" s="9" t="str">
        <x:v>Caja básica</x:v>
      </x:c>
      <x:c r="C47" s="9" t="n">
        <x:v>46</x:v>
      </x:c>
      <x:c r="D47" s="9" t="str">
        <x:v>Energy Daggers</x:v>
      </x:c>
      <x:c r="E47" s="9" t="str">
        <x:v>Dagas de energía</x:v>
      </x:c>
      <x:c r="F47" s="9" t="str">
        <x:v>Player</x:v>
      </x:c>
      <x:c r="G47" s="9" t="str">
        <x:v>Black Panther</x:v>
      </x:c>
      <x:c r="H47" s="9" t="str">
        <x:v>Pantera Negra</x:v>
      </x:c>
      <x:c r="I47" s="9" t="str">
        <x:v>https://marvelcdb.com/set/core</x:v>
      </x:c>
      <x:c r="J47" s="9" t="str">
        <x:v>https://es.marvelcdb.com/set/core</x:v>
      </x:c>
    </x:row>
    <x:row r="48" ht="20" customHeight="1">
      <x:c r="A48" s="9" t="str">
        <x:v>Core Set</x:v>
      </x:c>
      <x:c r="B48" s="9" t="str">
        <x:v>Caja básica</x:v>
      </x:c>
      <x:c r="C48" s="9" t="n">
        <x:v>47</x:v>
      </x:c>
      <x:c r="D48" s="9" t="str">
        <x:v>Panther Claws</x:v>
      </x:c>
      <x:c r="E48" s="9" t="str">
        <x:v>Garras de pantera</x:v>
      </x:c>
      <x:c r="F48" s="9" t="str">
        <x:v>Player</x:v>
      </x:c>
      <x:c r="G48" s="9" t="str">
        <x:v>Black Panther</x:v>
      </x:c>
      <x:c r="H48" s="9" t="str">
        <x:v>Pantera Negra</x:v>
      </x:c>
      <x:c r="I48" s="9" t="str">
        <x:v>https://marvelcdb.com/set/core</x:v>
      </x:c>
      <x:c r="J48" s="9" t="str">
        <x:v>https://es.marvelcdb.com/set/core</x:v>
      </x:c>
    </x:row>
    <x:row r="49" ht="20" customHeight="1">
      <x:c r="A49" s="9" t="str">
        <x:v>Core Set</x:v>
      </x:c>
      <x:c r="B49" s="9" t="str">
        <x:v>Caja básica</x:v>
      </x:c>
      <x:c r="C49" s="9" t="n">
        <x:v>48</x:v>
      </x:c>
      <x:c r="D49" s="9" t="str">
        <x:v>Tactical Genius</x:v>
      </x:c>
      <x:c r="E49" s="9" t="str">
        <x:v>Ingenio táctico</x:v>
      </x:c>
      <x:c r="F49" s="9" t="str">
        <x:v>Player</x:v>
      </x:c>
      <x:c r="G49" s="9" t="str">
        <x:v>Black Panther</x:v>
      </x:c>
      <x:c r="H49" s="9" t="str">
        <x:v>Pantera Negra</x:v>
      </x:c>
      <x:c r="I49" s="9" t="str">
        <x:v>https://marvelcdb.com/set/core</x:v>
      </x:c>
      <x:c r="J49" s="9" t="str">
        <x:v>https://es.marvelcdb.com/set/core</x:v>
      </x:c>
    </x:row>
    <x:row r="50" ht="20" customHeight="1">
      <x:c r="A50" s="9" t="str">
        <x:v>Core Set</x:v>
      </x:c>
      <x:c r="B50" s="9" t="str">
        <x:v>Caja básica</x:v>
      </x:c>
      <x:c r="C50" s="9" t="n">
        <x:v>49</x:v>
      </x:c>
      <x:c r="D50" s="9" t="str">
        <x:v>Vibranium Suit</x:v>
      </x:c>
      <x:c r="E50" s="9" t="str">
        <x:v>Traje de vibránium</x:v>
      </x:c>
      <x:c r="F50" s="9" t="str">
        <x:v>Player</x:v>
      </x:c>
      <x:c r="G50" s="9" t="str">
        <x:v>Black Panther</x:v>
      </x:c>
      <x:c r="H50" s="9" t="str">
        <x:v>Pantera Negra</x:v>
      </x:c>
      <x:c r="I50" s="9" t="str">
        <x:v>https://marvelcdb.com/set/core</x:v>
      </x:c>
      <x:c r="J50" s="9" t="str">
        <x:v>https://es.marvelcdb.com/set/core</x:v>
      </x:c>
    </x:row>
    <x:row r="51" ht="20" customHeight="1">
      <x:c r="A51" s="9" t="str">
        <x:v>Core Set</x:v>
      </x:c>
      <x:c r="B51" s="9" t="str">
        <x:v>Caja básica</x:v>
      </x:c>
      <x:c r="C51" s="9" t="n">
        <x:v>50</x:v>
      </x:c>
      <x:c r="D51" s="9" t="str">
        <x:v>Hulk: Bruce Banner</x:v>
      </x:c>
      <x:c r="E51" s="9" t="str">
        <x:v>Hulk: Bruce Banner</x:v>
      </x:c>
      <x:c r="F51" s="9" t="str">
        <x:v>Player</x:v>
      </x:c>
      <x:c r="G51" s="9" t="str">
        <x:v>Aggression</x:v>
      </x:c>
      <x:c r="H51" s="9" t="str">
        <x:v>Agresividad</x:v>
      </x:c>
      <x:c r="I51" s="9" t="str">
        <x:v>https://marvelcdb.com/set/core</x:v>
      </x:c>
      <x:c r="J51" s="9" t="str">
        <x:v>https://es.marvelcdb.com/set/core</x:v>
      </x:c>
    </x:row>
    <x:row r="52" ht="20" customHeight="1">
      <x:c r="A52" s="9" t="str">
        <x:v>Core Set</x:v>
      </x:c>
      <x:c r="B52" s="9" t="str">
        <x:v>Caja básica</x:v>
      </x:c>
      <x:c r="C52" s="9" t="n">
        <x:v>51</x:v>
      </x:c>
      <x:c r="D52" s="9" t="str">
        <x:v>Tigra: Greer Grant Nelson</x:v>
      </x:c>
      <x:c r="E52" s="9" t="str">
        <x:v>Tigra: Greer Grant Nelson</x:v>
      </x:c>
      <x:c r="F52" s="9" t="str">
        <x:v>Player</x:v>
      </x:c>
      <x:c r="G52" s="9" t="str">
        <x:v>Aggression</x:v>
      </x:c>
      <x:c r="H52" s="9" t="str">
        <x:v>Agresividad</x:v>
      </x:c>
      <x:c r="I52" s="9" t="str">
        <x:v>https://marvelcdb.com/set/core</x:v>
      </x:c>
      <x:c r="J52" s="9" t="str">
        <x:v>https://es.marvelcdb.com/set/core</x:v>
      </x:c>
    </x:row>
    <x:row r="53" ht="20" customHeight="1">
      <x:c r="A53" s="9" t="str">
        <x:v>Core Set</x:v>
      </x:c>
      <x:c r="B53" s="9" t="str">
        <x:v>Caja básica</x:v>
      </x:c>
      <x:c r="C53" s="9" t="n">
        <x:v>52</x:v>
      </x:c>
      <x:c r="D53" s="9" t="str">
        <x:v>Chase Them Down</x:v>
      </x:c>
      <x:c r="E53" s="9" t="str">
        <x:v>A por ellos</x:v>
      </x:c>
      <x:c r="F53" s="9" t="str">
        <x:v>Player</x:v>
      </x:c>
      <x:c r="G53" s="9" t="str">
        <x:v>Aggression</x:v>
      </x:c>
      <x:c r="H53" s="9" t="str">
        <x:v>Agresividad</x:v>
      </x:c>
      <x:c r="I53" s="9" t="str">
        <x:v>https://marvelcdb.com/set/core</x:v>
      </x:c>
      <x:c r="J53" s="9" t="str">
        <x:v>https://es.marvelcdb.com/set/core</x:v>
      </x:c>
    </x:row>
    <x:row r="54" ht="20" customHeight="1">
      <x:c r="A54" s="9" t="str">
        <x:v>Core Set</x:v>
      </x:c>
      <x:c r="B54" s="9" t="str">
        <x:v>Caja básica</x:v>
      </x:c>
      <x:c r="C54" s="9" t="n">
        <x:v>53</x:v>
      </x:c>
      <x:c r="D54" s="9" t="str">
        <x:v>Relentless Assault</x:v>
      </x:c>
      <x:c r="E54" s="9" t="str">
        <x:v>Asalto implacable</x:v>
      </x:c>
      <x:c r="F54" s="9" t="str">
        <x:v>Player</x:v>
      </x:c>
      <x:c r="G54" s="9" t="str">
        <x:v>Aggression</x:v>
      </x:c>
      <x:c r="H54" s="9" t="str">
        <x:v>Agresividad</x:v>
      </x:c>
      <x:c r="I54" s="9" t="str">
        <x:v>https://marvelcdb.com/set/core</x:v>
      </x:c>
      <x:c r="J54" s="9" t="str">
        <x:v>https://es.marvelcdb.com/set/core</x:v>
      </x:c>
    </x:row>
    <x:row r="55" ht="20" customHeight="1">
      <x:c r="A55" s="9" t="str">
        <x:v>Core Set</x:v>
      </x:c>
      <x:c r="B55" s="9" t="str">
        <x:v>Caja básica</x:v>
      </x:c>
      <x:c r="C55" s="9" t="n">
        <x:v>54</x:v>
      </x:c>
      <x:c r="D55" s="9" t="str">
        <x:v>Uppercut</x:v>
      </x:c>
      <x:c r="E55" s="9" t="str">
        <x:v>Gancho</x:v>
      </x:c>
      <x:c r="F55" s="9" t="str">
        <x:v>Player</x:v>
      </x:c>
      <x:c r="G55" s="9" t="str">
        <x:v>Aggression</x:v>
      </x:c>
      <x:c r="H55" s="9" t="str">
        <x:v>Agresividad</x:v>
      </x:c>
      <x:c r="I55" s="9" t="str">
        <x:v>https://marvelcdb.com/set/core</x:v>
      </x:c>
      <x:c r="J55" s="9" t="str">
        <x:v>https://es.marvelcdb.com/set/core</x:v>
      </x:c>
    </x:row>
    <x:row r="56" ht="20" customHeight="1">
      <x:c r="A56" s="9" t="str">
        <x:v>Core Set</x:v>
      </x:c>
      <x:c r="B56" s="9" t="str">
        <x:v>Caja básica</x:v>
      </x:c>
      <x:c r="C56" s="9" t="n">
        <x:v>55</x:v>
      </x:c>
      <x:c r="D56" s="9" t="str">
        <x:v>The Power of Aggression</x:v>
      </x:c>
      <x:c r="E56" s="9" t="str">
        <x:v>El poder de la agresividad</x:v>
      </x:c>
      <x:c r="F56" s="9" t="str">
        <x:v>Player</x:v>
      </x:c>
      <x:c r="G56" s="9" t="str">
        <x:v>Aggression</x:v>
      </x:c>
      <x:c r="H56" s="9" t="str">
        <x:v>Agresividad</x:v>
      </x:c>
      <x:c r="I56" s="9" t="str">
        <x:v>https://marvelcdb.com/set/core</x:v>
      </x:c>
      <x:c r="J56" s="9" t="str">
        <x:v>https://es.marvelcdb.com/set/core</x:v>
      </x:c>
    </x:row>
    <x:row r="57" ht="20" customHeight="1">
      <x:c r="A57" s="9" t="str">
        <x:v>Core Set</x:v>
      </x:c>
      <x:c r="B57" s="9" t="str">
        <x:v>Caja básica</x:v>
      </x:c>
      <x:c r="C57" s="9" t="n">
        <x:v>56</x:v>
      </x:c>
      <x:c r="D57" s="9" t="str">
        <x:v>Tac Team</x:v>
      </x:c>
      <x:c r="E57" s="9" t="str">
        <x:v>Unidad táctica</x:v>
      </x:c>
      <x:c r="F57" s="9" t="str">
        <x:v>Player</x:v>
      </x:c>
      <x:c r="G57" s="9" t="str">
        <x:v>Aggression</x:v>
      </x:c>
      <x:c r="H57" s="9" t="str">
        <x:v>Agresividad</x:v>
      </x:c>
      <x:c r="I57" s="9" t="str">
        <x:v>https://marvelcdb.com/set/core</x:v>
      </x:c>
      <x:c r="J57" s="9" t="str">
        <x:v>https://es.marvelcdb.com/set/core</x:v>
      </x:c>
    </x:row>
    <x:row r="58" ht="20" customHeight="1">
      <x:c r="A58" s="9" t="str">
        <x:v>Core Set</x:v>
      </x:c>
      <x:c r="B58" s="9" t="str">
        <x:v>Caja básica</x:v>
      </x:c>
      <x:c r="C58" s="9" t="n">
        <x:v>57</x:v>
      </x:c>
      <x:c r="D58" s="9" t="str">
        <x:v>Combat Training</x:v>
      </x:c>
      <x:c r="E58" s="9" t="str">
        <x:v>Entrenamiento de combate</x:v>
      </x:c>
      <x:c r="F58" s="9" t="str">
        <x:v>Player</x:v>
      </x:c>
      <x:c r="G58" s="9" t="str">
        <x:v>Aggression</x:v>
      </x:c>
      <x:c r="H58" s="9" t="str">
        <x:v>Agresividad</x:v>
      </x:c>
      <x:c r="I58" s="9" t="str">
        <x:v>https://marvelcdb.com/set/core</x:v>
      </x:c>
      <x:c r="J58" s="9" t="str">
        <x:v>https://es.marvelcdb.com/set/core</x:v>
      </x:c>
    </x:row>
    <x:row r="59" ht="20" customHeight="1">
      <x:c r="A59" s="9" t="str">
        <x:v>Core Set</x:v>
      </x:c>
      <x:c r="B59" s="9" t="str">
        <x:v>Caja básica</x:v>
      </x:c>
      <x:c r="C59" s="9" t="n">
        <x:v>58</x:v>
      </x:c>
      <x:c r="D59" s="9" t="str">
        <x:v>Daredevil: Matt Murdock</x:v>
      </x:c>
      <x:c r="E59" s="9" t="str">
        <x:v>Daredevil: Matt Murdock</x:v>
      </x:c>
      <x:c r="F59" s="9" t="str">
        <x:v>Player</x:v>
      </x:c>
      <x:c r="G59" s="9" t="str">
        <x:v>Justice</x:v>
      </x:c>
      <x:c r="H59" s="9" t="str">
        <x:v>Justicia</x:v>
      </x:c>
      <x:c r="I59" s="9" t="str">
        <x:v>https://marvelcdb.com/set/core</x:v>
      </x:c>
      <x:c r="J59" s="9" t="str">
        <x:v>https://es.marvelcdb.com/set/core</x:v>
      </x:c>
    </x:row>
    <x:row r="60" ht="20" customHeight="1">
      <x:c r="A60" s="9" t="str">
        <x:v>Core Set</x:v>
      </x:c>
      <x:c r="B60" s="9" t="str">
        <x:v>Caja básica</x:v>
      </x:c>
      <x:c r="C60" s="9" t="n">
        <x:v>59</x:v>
      </x:c>
      <x:c r="D60" s="9" t="str">
        <x:v>Jessica Jones</x:v>
      </x:c>
      <x:c r="E60" s="9" t="str">
        <x:v>Jessica Jones</x:v>
      </x:c>
      <x:c r="F60" s="9" t="str">
        <x:v>Player</x:v>
      </x:c>
      <x:c r="G60" s="9" t="str">
        <x:v>Justice</x:v>
      </x:c>
      <x:c r="H60" s="9" t="str">
        <x:v>Justicia</x:v>
      </x:c>
      <x:c r="I60" s="9" t="str">
        <x:v>https://marvelcdb.com/set/core</x:v>
      </x:c>
      <x:c r="J60" s="9" t="str">
        <x:v>https://es.marvelcdb.com/set/core</x:v>
      </x:c>
    </x:row>
    <x:row r="61" ht="20" customHeight="1">
      <x:c r="A61" s="9" t="str">
        <x:v>Core Set</x:v>
      </x:c>
      <x:c r="B61" s="9" t="str">
        <x:v>Caja básica</x:v>
      </x:c>
      <x:c r="C61" s="9" t="n">
        <x:v>60</x:v>
      </x:c>
      <x:c r="D61" s="9" t="str">
        <x:v>For Justice!</x:v>
      </x:c>
      <x:c r="E61" s="9" t="str">
        <x:v>¡Por la justicia!</x:v>
      </x:c>
      <x:c r="F61" s="9" t="str">
        <x:v>Player</x:v>
      </x:c>
      <x:c r="G61" s="9" t="str">
        <x:v>Justice</x:v>
      </x:c>
      <x:c r="H61" s="9" t="str">
        <x:v>Justicia</x:v>
      </x:c>
      <x:c r="I61" s="9" t="str">
        <x:v>https://marvelcdb.com/set/core</x:v>
      </x:c>
      <x:c r="J61" s="9" t="str">
        <x:v>https://es.marvelcdb.com/set/core</x:v>
      </x:c>
    </x:row>
    <x:row r="62" ht="20" customHeight="1">
      <x:c r="A62" s="9" t="str">
        <x:v>Core Set</x:v>
      </x:c>
      <x:c r="B62" s="9" t="str">
        <x:v>Caja básica</x:v>
      </x:c>
      <x:c r="C62" s="9" t="n">
        <x:v>61</x:v>
      </x:c>
      <x:c r="D62" s="9" t="str">
        <x:v>Great Responsibility</x:v>
      </x:c>
      <x:c r="E62" s="9" t="str">
        <x:v>Una gran responsabilidad</x:v>
      </x:c>
      <x:c r="F62" s="9" t="str">
        <x:v>Player</x:v>
      </x:c>
      <x:c r="G62" s="9" t="str">
        <x:v>Justice</x:v>
      </x:c>
      <x:c r="H62" s="9" t="str">
        <x:v>Justicia</x:v>
      </x:c>
      <x:c r="I62" s="9" t="str">
        <x:v>https://marvelcdb.com/set/core</x:v>
      </x:c>
      <x:c r="J62" s="9" t="str">
        <x:v>https://es.marvelcdb.com/set/core</x:v>
      </x:c>
    </x:row>
    <x:row r="63" ht="20" customHeight="1">
      <x:c r="A63" s="9" t="str">
        <x:v>Core Set</x:v>
      </x:c>
      <x:c r="B63" s="9" t="str">
        <x:v>Caja básica</x:v>
      </x:c>
      <x:c r="C63" s="9" t="n">
        <x:v>62</x:v>
      </x:c>
      <x:c r="D63" s="9" t="str">
        <x:v>The Power of Justice</x:v>
      </x:c>
      <x:c r="E63" s="9" t="str">
        <x:v>El poder de la justicia</x:v>
      </x:c>
      <x:c r="F63" s="9" t="str">
        <x:v>Player</x:v>
      </x:c>
      <x:c r="G63" s="9" t="str">
        <x:v>Justice</x:v>
      </x:c>
      <x:c r="H63" s="9" t="str">
        <x:v>Justicia</x:v>
      </x:c>
      <x:c r="I63" s="9" t="str">
        <x:v>https://marvelcdb.com/set/core</x:v>
      </x:c>
      <x:c r="J63" s="9" t="str">
        <x:v>https://es.marvelcdb.com/set/core</x:v>
      </x:c>
    </x:row>
    <x:row r="64" ht="20" customHeight="1">
      <x:c r="A64" s="9" t="str">
        <x:v>Core Set</x:v>
      </x:c>
      <x:c r="B64" s="9" t="str">
        <x:v>Caja básica</x:v>
      </x:c>
      <x:c r="C64" s="9" t="n">
        <x:v>63</x:v>
      </x:c>
      <x:c r="D64" s="9" t="str">
        <x:v>Interrogation Room</x:v>
      </x:c>
      <x:c r="E64" s="9" t="str">
        <x:v>Sala de interrogatorios</x:v>
      </x:c>
      <x:c r="F64" s="9" t="str">
        <x:v>Player</x:v>
      </x:c>
      <x:c r="G64" s="9" t="str">
        <x:v>Justice</x:v>
      </x:c>
      <x:c r="H64" s="9" t="str">
        <x:v>Justicia</x:v>
      </x:c>
      <x:c r="I64" s="9" t="str">
        <x:v>https://marvelcdb.com/set/core</x:v>
      </x:c>
      <x:c r="J64" s="9" t="str">
        <x:v>https://es.marvelcdb.com/set/core</x:v>
      </x:c>
    </x:row>
    <x:row r="65" ht="20" customHeight="1">
      <x:c r="A65" s="9" t="str">
        <x:v>Core Set</x:v>
      </x:c>
      <x:c r="B65" s="9" t="str">
        <x:v>Caja básica</x:v>
      </x:c>
      <x:c r="C65" s="9" t="n">
        <x:v>64</x:v>
      </x:c>
      <x:c r="D65" s="9" t="str">
        <x:v>Surveillance Team</x:v>
      </x:c>
      <x:c r="E65" s="9" t="str">
        <x:v>Equipo de vigilancia</x:v>
      </x:c>
      <x:c r="F65" s="9" t="str">
        <x:v>Player</x:v>
      </x:c>
      <x:c r="G65" s="9" t="str">
        <x:v>Justice</x:v>
      </x:c>
      <x:c r="H65" s="9" t="str">
        <x:v>Justicia</x:v>
      </x:c>
      <x:c r="I65" s="9" t="str">
        <x:v>https://marvelcdb.com/set/core</x:v>
      </x:c>
      <x:c r="J65" s="9" t="str">
        <x:v>https://es.marvelcdb.com/set/core</x:v>
      </x:c>
    </x:row>
    <x:row r="66" ht="20" customHeight="1">
      <x:c r="A66" s="9" t="str">
        <x:v>Core Set</x:v>
      </x:c>
      <x:c r="B66" s="9" t="str">
        <x:v>Caja básica</x:v>
      </x:c>
      <x:c r="C66" s="9" t="n">
        <x:v>65</x:v>
      </x:c>
      <x:c r="D66" s="9" t="str">
        <x:v>Heroic Intuition</x:v>
      </x:c>
      <x:c r="E66" s="9" t="str">
        <x:v>Intuición heroica</x:v>
      </x:c>
      <x:c r="F66" s="9" t="str">
        <x:v>Player</x:v>
      </x:c>
      <x:c r="G66" s="9" t="str">
        <x:v>Justice</x:v>
      </x:c>
      <x:c r="H66" s="9" t="str">
        <x:v>Justicia</x:v>
      </x:c>
      <x:c r="I66" s="9" t="str">
        <x:v>https://marvelcdb.com/set/core</x:v>
      </x:c>
      <x:c r="J66" s="9" t="str">
        <x:v>https://es.marvelcdb.com/set/core</x:v>
      </x:c>
    </x:row>
    <x:row r="67" ht="20" customHeight="1">
      <x:c r="A67" s="9" t="str">
        <x:v>Core Set</x:v>
      </x:c>
      <x:c r="B67" s="9" t="str">
        <x:v>Caja básica</x:v>
      </x:c>
      <x:c r="C67" s="9" t="n">
        <x:v>66</x:v>
      </x:c>
      <x:c r="D67" s="9" t="str">
        <x:v>Hawkeye: Clint Barton</x:v>
      </x:c>
      <x:c r="E67" s="9" t="str">
        <x:v>Ojo de Halcón: Clint Barton</x:v>
      </x:c>
      <x:c r="F67" s="9" t="str">
        <x:v>Player</x:v>
      </x:c>
      <x:c r="G67" s="9" t="str">
        <x:v>Leadership</x:v>
      </x:c>
      <x:c r="H67" s="9" t="str">
        <x:v>Liderazgo</x:v>
      </x:c>
      <x:c r="I67" s="9" t="str">
        <x:v>https://marvelcdb.com/set/core</x:v>
      </x:c>
      <x:c r="J67" s="9" t="str">
        <x:v>https://es.marvelcdb.com/set/core</x:v>
      </x:c>
    </x:row>
    <x:row r="68" ht="20" customHeight="1">
      <x:c r="A68" s="9" t="str">
        <x:v>Core Set</x:v>
      </x:c>
      <x:c r="B68" s="9" t="str">
        <x:v>Caja básica</x:v>
      </x:c>
      <x:c r="C68" s="9" t="n">
        <x:v>67</x:v>
      </x:c>
      <x:c r="D68" s="9" t="str">
        <x:v>Maria Hill</x:v>
      </x:c>
      <x:c r="E68" s="9" t="str">
        <x:v>María Hill</x:v>
      </x:c>
      <x:c r="F68" s="9" t="str">
        <x:v>Player</x:v>
      </x:c>
      <x:c r="G68" s="9" t="str">
        <x:v>Leadership</x:v>
      </x:c>
      <x:c r="H68" s="9" t="str">
        <x:v>Liderazgo</x:v>
      </x:c>
      <x:c r="I68" s="9" t="str">
        <x:v>https://marvelcdb.com/set/core</x:v>
      </x:c>
      <x:c r="J68" s="9" t="str">
        <x:v>https://es.marvelcdb.com/set/core</x:v>
      </x:c>
    </x:row>
    <x:row r="69" ht="20" customHeight="1">
      <x:c r="A69" s="9" t="str">
        <x:v>Core Set</x:v>
      </x:c>
      <x:c r="B69" s="9" t="str">
        <x:v>Caja básica</x:v>
      </x:c>
      <x:c r="C69" s="9" t="n">
        <x:v>68</x:v>
      </x:c>
      <x:c r="D69" s="9" t="str">
        <x:v>Vision</x:v>
      </x:c>
      <x:c r="E69" s="9" t="str">
        <x:v>La Visión</x:v>
      </x:c>
      <x:c r="F69" s="9" t="str">
        <x:v>Player</x:v>
      </x:c>
      <x:c r="G69" s="9" t="str">
        <x:v>Leadership</x:v>
      </x:c>
      <x:c r="H69" s="9" t="str">
        <x:v>Liderazgo</x:v>
      </x:c>
      <x:c r="I69" s="9" t="str">
        <x:v>https://marvelcdb.com/set/core</x:v>
      </x:c>
      <x:c r="J69" s="9" t="str">
        <x:v>https://es.marvelcdb.com/set/core</x:v>
      </x:c>
    </x:row>
    <x:row r="70" ht="20" customHeight="1">
      <x:c r="A70" s="9" t="str">
        <x:v>Core Set</x:v>
      </x:c>
      <x:c r="B70" s="9" t="str">
        <x:v>Caja básica</x:v>
      </x:c>
      <x:c r="C70" s="9" t="n">
        <x:v>69</x:v>
      </x:c>
      <x:c r="D70" s="9" t="str">
        <x:v>Get Ready</x:v>
      </x:c>
      <x:c r="E70" s="9" t="str">
        <x:v>Preparación</x:v>
      </x:c>
      <x:c r="F70" s="9" t="str">
        <x:v>Player</x:v>
      </x:c>
      <x:c r="G70" s="9" t="str">
        <x:v>Leadership</x:v>
      </x:c>
      <x:c r="H70" s="9" t="str">
        <x:v>Liderazgo</x:v>
      </x:c>
      <x:c r="I70" s="9" t="str">
        <x:v>https://marvelcdb.com/set/core</x:v>
      </x:c>
      <x:c r="J70" s="9" t="str">
        <x:v>https://es.marvelcdb.com/set/core</x:v>
      </x:c>
    </x:row>
    <x:row r="71" ht="20" customHeight="1">
      <x:c r="A71" s="9" t="str">
        <x:v>Core Set</x:v>
      </x:c>
      <x:c r="B71" s="9" t="str">
        <x:v>Caja básica</x:v>
      </x:c>
      <x:c r="C71" s="9" t="n">
        <x:v>70</x:v>
      </x:c>
      <x:c r="D71" s="9" t="str">
        <x:v>Lead from the Front</x:v>
      </x:c>
      <x:c r="E71" s="9" t="str">
        <x:v>Liderar en vanguardia</x:v>
      </x:c>
      <x:c r="F71" s="9" t="str">
        <x:v>Player</x:v>
      </x:c>
      <x:c r="G71" s="9" t="str">
        <x:v>Leadership</x:v>
      </x:c>
      <x:c r="H71" s="9" t="str">
        <x:v>Liderazgo</x:v>
      </x:c>
      <x:c r="I71" s="9" t="str">
        <x:v>https://marvelcdb.com/set/core</x:v>
      </x:c>
      <x:c r="J71" s="9" t="str">
        <x:v>https://es.marvelcdb.com/set/core</x:v>
      </x:c>
    </x:row>
    <x:row r="72" ht="20" customHeight="1">
      <x:c r="A72" s="9" t="str">
        <x:v>Core Set</x:v>
      </x:c>
      <x:c r="B72" s="9" t="str">
        <x:v>Caja básica</x:v>
      </x:c>
      <x:c r="C72" s="9" t="n">
        <x:v>71</x:v>
      </x:c>
      <x:c r="D72" s="9" t="str">
        <x:v>Make the Call</x:v>
      </x:c>
      <x:c r="E72" s="9" t="str">
        <x:v>Hacer la llamada</x:v>
      </x:c>
      <x:c r="F72" s="9" t="str">
        <x:v>Player</x:v>
      </x:c>
      <x:c r="G72" s="9" t="str">
        <x:v>Leadership</x:v>
      </x:c>
      <x:c r="H72" s="9" t="str">
        <x:v>Liderazgo</x:v>
      </x:c>
      <x:c r="I72" s="9" t="str">
        <x:v>https://marvelcdb.com/set/core</x:v>
      </x:c>
      <x:c r="J72" s="9" t="str">
        <x:v>https://es.marvelcdb.com/set/core</x:v>
      </x:c>
    </x:row>
    <x:row r="73" ht="20" customHeight="1">
      <x:c r="A73" s="9" t="str">
        <x:v>Core Set</x:v>
      </x:c>
      <x:c r="B73" s="9" t="str">
        <x:v>Caja básica</x:v>
      </x:c>
      <x:c r="C73" s="9" t="n">
        <x:v>72</x:v>
      </x:c>
      <x:c r="D73" s="9" t="str">
        <x:v>The Power of Leadership</x:v>
      </x:c>
      <x:c r="E73" s="9" t="str">
        <x:v>El poder del liderazgo</x:v>
      </x:c>
      <x:c r="F73" s="9" t="str">
        <x:v>Player</x:v>
      </x:c>
      <x:c r="G73" s="9" t="str">
        <x:v>Leadership</x:v>
      </x:c>
      <x:c r="H73" s="9" t="str">
        <x:v>Liderazgo</x:v>
      </x:c>
      <x:c r="I73" s="9" t="str">
        <x:v>https://marvelcdb.com/set/core</x:v>
      </x:c>
      <x:c r="J73" s="9" t="str">
        <x:v>https://es.marvelcdb.com/set/core</x:v>
      </x:c>
    </x:row>
    <x:row r="74" ht="20" customHeight="1">
      <x:c r="A74" s="9" t="str">
        <x:v>Core Set</x:v>
      </x:c>
      <x:c r="B74" s="9" t="str">
        <x:v>Caja básica</x:v>
      </x:c>
      <x:c r="C74" s="9" t="n">
        <x:v>73</x:v>
      </x:c>
      <x:c r="D74" s="9" t="str">
        <x:v>The Triskelion</x:v>
      </x:c>
      <x:c r="E74" s="9" t="str">
        <x:v>El Triskelion</x:v>
      </x:c>
      <x:c r="F74" s="9" t="str">
        <x:v>Player</x:v>
      </x:c>
      <x:c r="G74" s="9" t="str">
        <x:v>Leadership</x:v>
      </x:c>
      <x:c r="H74" s="9" t="str">
        <x:v>Liderazgo</x:v>
      </x:c>
      <x:c r="I74" s="9" t="str">
        <x:v>https://marvelcdb.com/set/core</x:v>
      </x:c>
      <x:c r="J74" s="9" t="str">
        <x:v>https://es.marvelcdb.com/set/core</x:v>
      </x:c>
    </x:row>
    <x:row r="75" ht="20" customHeight="1">
      <x:c r="A75" s="9" t="str">
        <x:v>Core Set</x:v>
      </x:c>
      <x:c r="B75" s="9" t="str">
        <x:v>Caja básica</x:v>
      </x:c>
      <x:c r="C75" s="9" t="n">
        <x:v>74</x:v>
      </x:c>
      <x:c r="D75" s="9" t="str">
        <x:v>Inspired</x:v>
      </x:c>
      <x:c r="E75" s="9" t="str">
        <x:v>Inspiración</x:v>
      </x:c>
      <x:c r="F75" s="9" t="str">
        <x:v>Player</x:v>
      </x:c>
      <x:c r="G75" s="9" t="str">
        <x:v>Leadership</x:v>
      </x:c>
      <x:c r="H75" s="9" t="str">
        <x:v>Liderazgo</x:v>
      </x:c>
      <x:c r="I75" s="9" t="str">
        <x:v>https://marvelcdb.com/set/core</x:v>
      </x:c>
      <x:c r="J75" s="9" t="str">
        <x:v>https://es.marvelcdb.com/set/core</x:v>
      </x:c>
    </x:row>
    <x:row r="76" ht="20" customHeight="1">
      <x:c r="A76" s="9" t="str">
        <x:v>Core Set</x:v>
      </x:c>
      <x:c r="B76" s="9" t="str">
        <x:v>Caja básica</x:v>
      </x:c>
      <x:c r="C76" s="9" t="n">
        <x:v>75</x:v>
      </x:c>
      <x:c r="D76" s="9" t="str">
        <x:v>Black Widow: Natasha Romanoff</x:v>
      </x:c>
      <x:c r="E76" s="9" t="str">
        <x:v>Viuda Negra: Natasha Romanoff</x:v>
      </x:c>
      <x:c r="F76" s="9" t="str">
        <x:v>Player</x:v>
      </x:c>
      <x:c r="G76" s="9" t="str">
        <x:v>Protection</x:v>
      </x:c>
      <x:c r="H76" s="9" t="str">
        <x:v>Protección</x:v>
      </x:c>
      <x:c r="I76" s="9" t="str">
        <x:v>https://marvelcdb.com/set/core</x:v>
      </x:c>
      <x:c r="J76" s="9" t="str">
        <x:v>https://es.marvelcdb.com/set/core</x:v>
      </x:c>
    </x:row>
    <x:row r="77" ht="20" customHeight="1">
      <x:c r="A77" s="9" t="str">
        <x:v>Core Set</x:v>
      </x:c>
      <x:c r="B77" s="9" t="str">
        <x:v>Caja básica</x:v>
      </x:c>
      <x:c r="C77" s="9" t="n">
        <x:v>76</x:v>
      </x:c>
      <x:c r="D77" s="9" t="str">
        <x:v>Luke Cage</x:v>
      </x:c>
      <x:c r="E77" s="9" t="str">
        <x:v>Luke Cage</x:v>
      </x:c>
      <x:c r="F77" s="9" t="str">
        <x:v>Player</x:v>
      </x:c>
      <x:c r="G77" s="9" t="str">
        <x:v>Protection</x:v>
      </x:c>
      <x:c r="H77" s="9" t="str">
        <x:v>Protección</x:v>
      </x:c>
      <x:c r="I77" s="9" t="str">
        <x:v>https://marvelcdb.com/set/core</x:v>
      </x:c>
      <x:c r="J77" s="9" t="str">
        <x:v>https://es.marvelcdb.com/set/core</x:v>
      </x:c>
    </x:row>
    <x:row r="78" ht="20" customHeight="1">
      <x:c r="A78" s="9" t="str">
        <x:v>Core Set</x:v>
      </x:c>
      <x:c r="B78" s="9" t="str">
        <x:v>Caja básica</x:v>
      </x:c>
      <x:c r="C78" s="9" t="n">
        <x:v>77</x:v>
      </x:c>
      <x:c r="D78" s="9" t="str">
        <x:v>Counter-Punch</x:v>
      </x:c>
      <x:c r="E78" s="9" t="str">
        <x:v>Contragolpe</x:v>
      </x:c>
      <x:c r="F78" s="9" t="str">
        <x:v>Player</x:v>
      </x:c>
      <x:c r="G78" s="9" t="str">
        <x:v>Protection</x:v>
      </x:c>
      <x:c r="H78" s="9" t="str">
        <x:v>Protección</x:v>
      </x:c>
      <x:c r="I78" s="9" t="str">
        <x:v>https://marvelcdb.com/set/core</x:v>
      </x:c>
      <x:c r="J78" s="9" t="str">
        <x:v>https://es.marvelcdb.com/set/core</x:v>
      </x:c>
    </x:row>
    <x:row r="79" ht="20" customHeight="1">
      <x:c r="A79" s="9" t="str">
        <x:v>Core Set</x:v>
      </x:c>
      <x:c r="B79" s="9" t="str">
        <x:v>Caja básica</x:v>
      </x:c>
      <x:c r="C79" s="9" t="n">
        <x:v>78</x:v>
      </x:c>
      <x:c r="D79" s="9" t="str">
        <x:v>Get Behind Me!</x:v>
      </x:c>
      <x:c r="E79" s="9" t="str">
        <x:v>¡Poneos detrás de mí!</x:v>
      </x:c>
      <x:c r="F79" s="9" t="str">
        <x:v>Player</x:v>
      </x:c>
      <x:c r="G79" s="9" t="str">
        <x:v>Protection</x:v>
      </x:c>
      <x:c r="H79" s="9" t="str">
        <x:v>Protección</x:v>
      </x:c>
      <x:c r="I79" s="9" t="str">
        <x:v>https://marvelcdb.com/set/core</x:v>
      </x:c>
      <x:c r="J79" s="9" t="str">
        <x:v>https://es.marvelcdb.com/set/core</x:v>
      </x:c>
    </x:row>
    <x:row r="80" ht="20" customHeight="1">
      <x:c r="A80" s="9" t="str">
        <x:v>Core Set</x:v>
      </x:c>
      <x:c r="B80" s="9" t="str">
        <x:v>Caja básica</x:v>
      </x:c>
      <x:c r="C80" s="9" t="n">
        <x:v>79</x:v>
      </x:c>
      <x:c r="D80" s="9" t="str">
        <x:v>The Power of Protection</x:v>
      </x:c>
      <x:c r="E80" s="9" t="str">
        <x:v>El poder de la protección</x:v>
      </x:c>
      <x:c r="F80" s="9" t="str">
        <x:v>Player</x:v>
      </x:c>
      <x:c r="G80" s="9" t="str">
        <x:v>Protection</x:v>
      </x:c>
      <x:c r="H80" s="9" t="str">
        <x:v>Protección</x:v>
      </x:c>
      <x:c r="I80" s="9" t="str">
        <x:v>https://marvelcdb.com/set/core</x:v>
      </x:c>
      <x:c r="J80" s="9" t="str">
        <x:v>https://es.marvelcdb.com/set/core</x:v>
      </x:c>
    </x:row>
    <x:row r="81" ht="20" customHeight="1">
      <x:c r="A81" s="9" t="str">
        <x:v>Core Set</x:v>
      </x:c>
      <x:c r="B81" s="9" t="str">
        <x:v>Caja básica</x:v>
      </x:c>
      <x:c r="C81" s="9" t="n">
        <x:v>80</x:v>
      </x:c>
      <x:c r="D81" s="9" t="str">
        <x:v>Med Team</x:v>
      </x:c>
      <x:c r="E81" s="9" t="str">
        <x:v>Equipo médico</x:v>
      </x:c>
      <x:c r="F81" s="9" t="str">
        <x:v>Player</x:v>
      </x:c>
      <x:c r="G81" s="9" t="str">
        <x:v>Protection</x:v>
      </x:c>
      <x:c r="H81" s="9" t="str">
        <x:v>Protección</x:v>
      </x:c>
      <x:c r="I81" s="9" t="str">
        <x:v>https://marvelcdb.com/set/core</x:v>
      </x:c>
      <x:c r="J81" s="9" t="str">
        <x:v>https://es.marvelcdb.com/set/core</x:v>
      </x:c>
    </x:row>
    <x:row r="82" ht="20" customHeight="1">
      <x:c r="A82" s="9" t="str">
        <x:v>Core Set</x:v>
      </x:c>
      <x:c r="B82" s="9" t="str">
        <x:v>Caja básica</x:v>
      </x:c>
      <x:c r="C82" s="9" t="n">
        <x:v>81</x:v>
      </x:c>
      <x:c r="D82" s="9" t="str">
        <x:v>Armored Vest</x:v>
      </x:c>
      <x:c r="E82" s="9" t="str">
        <x:v>Chaleco blindado</x:v>
      </x:c>
      <x:c r="F82" s="9" t="str">
        <x:v>Player</x:v>
      </x:c>
      <x:c r="G82" s="9" t="str">
        <x:v>Protection</x:v>
      </x:c>
      <x:c r="H82" s="9" t="str">
        <x:v>Protección</x:v>
      </x:c>
      <x:c r="I82" s="9" t="str">
        <x:v>https://marvelcdb.com/set/core</x:v>
      </x:c>
      <x:c r="J82" s="9" t="str">
        <x:v>https://es.marvelcdb.com/set/core</x:v>
      </x:c>
    </x:row>
    <x:row r="83" ht="20" customHeight="1">
      <x:c r="A83" s="9" t="str">
        <x:v>Core Set</x:v>
      </x:c>
      <x:c r="B83" s="9" t="str">
        <x:v>Caja básica</x:v>
      </x:c>
      <x:c r="C83" s="9" t="n">
        <x:v>82</x:v>
      </x:c>
      <x:c r="D83" s="9" t="str">
        <x:v>Indomitable</x:v>
      </x:c>
      <x:c r="E83" s="9" t="str">
        <x:v>Indómito</x:v>
      </x:c>
      <x:c r="F83" s="9" t="str">
        <x:v>Player</x:v>
      </x:c>
      <x:c r="G83" s="9" t="str">
        <x:v>Protection</x:v>
      </x:c>
      <x:c r="H83" s="9" t="str">
        <x:v>Protección</x:v>
      </x:c>
      <x:c r="I83" s="9" t="str">
        <x:v>https://marvelcdb.com/set/core</x:v>
      </x:c>
      <x:c r="J83" s="9" t="str">
        <x:v>https://es.marvelcdb.com/set/core</x:v>
      </x:c>
    </x:row>
    <x:row r="84" ht="20" customHeight="1">
      <x:c r="A84" s="9" t="str">
        <x:v>Core Set</x:v>
      </x:c>
      <x:c r="B84" s="9" t="str">
        <x:v>Caja básica</x:v>
      </x:c>
      <x:c r="C84" s="9" t="n">
        <x:v>83</x:v>
      </x:c>
      <x:c r="D84" s="9" t="str">
        <x:v>Mockingbird: Bobbi Morse</x:v>
      </x:c>
      <x:c r="E84" s="9" t="str">
        <x:v>Pájaro Burlón: Bobbi Morse</x:v>
      </x:c>
      <x:c r="F84" s="9" t="str">
        <x:v>Player</x:v>
      </x:c>
      <x:c r="G84" s="9" t="str">
        <x:v>Basic</x:v>
      </x:c>
      <x:c r="H84" s="9" t="str">
        <x:v>Básica</x:v>
      </x:c>
      <x:c r="I84" s="9" t="str">
        <x:v>https://marvelcdb.com/set/core</x:v>
      </x:c>
      <x:c r="J84" s="9" t="str">
        <x:v>https://es.marvelcdb.com/set/core</x:v>
      </x:c>
    </x:row>
    <x:row r="85" ht="20" customHeight="1">
      <x:c r="A85" s="9" t="str">
        <x:v>Core Set</x:v>
      </x:c>
      <x:c r="B85" s="9" t="str">
        <x:v>Caja básica</x:v>
      </x:c>
      <x:c r="C85" s="9" t="n">
        <x:v>84</x:v>
      </x:c>
      <x:c r="D85" s="9" t="str">
        <x:v>Nick Fury</x:v>
      </x:c>
      <x:c r="E85" s="9" t="str">
        <x:v>Nick Furia</x:v>
      </x:c>
      <x:c r="F85" s="9" t="str">
        <x:v>Player</x:v>
      </x:c>
      <x:c r="G85" s="9" t="str">
        <x:v>Basic</x:v>
      </x:c>
      <x:c r="H85" s="9" t="str">
        <x:v>Básica</x:v>
      </x:c>
      <x:c r="I85" s="9" t="str">
        <x:v>https://marvelcdb.com/set/core</x:v>
      </x:c>
      <x:c r="J85" s="9" t="str">
        <x:v>https://es.marvelcdb.com/set/core</x:v>
      </x:c>
    </x:row>
    <x:row r="86" ht="20" customHeight="1">
      <x:c r="A86" s="9" t="str">
        <x:v>Core Set</x:v>
      </x:c>
      <x:c r="B86" s="9" t="str">
        <x:v>Caja básica</x:v>
      </x:c>
      <x:c r="C86" s="9" t="n">
        <x:v>85</x:v>
      </x:c>
      <x:c r="D86" s="9" t="str">
        <x:v>Emergency</x:v>
      </x:c>
      <x:c r="E86" s="9" t="str">
        <x:v>Emergencia</x:v>
      </x:c>
      <x:c r="F86" s="9" t="str">
        <x:v>Player</x:v>
      </x:c>
      <x:c r="G86" s="9" t="str">
        <x:v>Basic</x:v>
      </x:c>
      <x:c r="H86" s="9" t="str">
        <x:v>Básica</x:v>
      </x:c>
      <x:c r="I86" s="9" t="str">
        <x:v>https://marvelcdb.com/set/core</x:v>
      </x:c>
      <x:c r="J86" s="9" t="str">
        <x:v>https://es.marvelcdb.com/set/core</x:v>
      </x:c>
    </x:row>
    <x:row r="87" ht="20" customHeight="1">
      <x:c r="A87" s="9" t="str">
        <x:v>Core Set</x:v>
      </x:c>
      <x:c r="B87" s="9" t="str">
        <x:v>Caja básica</x:v>
      </x:c>
      <x:c r="C87" s="9" t="n">
        <x:v>86</x:v>
      </x:c>
      <x:c r="D87" s="9" t="str">
        <x:v>First Aid</x:v>
      </x:c>
      <x:c r="E87" s="9" t="str">
        <x:v>Primeros auxilios</x:v>
      </x:c>
      <x:c r="F87" s="9" t="str">
        <x:v>Player</x:v>
      </x:c>
      <x:c r="G87" s="9" t="str">
        <x:v>Basic</x:v>
      </x:c>
      <x:c r="H87" s="9" t="str">
        <x:v>Básica</x:v>
      </x:c>
      <x:c r="I87" s="9" t="str">
        <x:v>https://marvelcdb.com/set/core</x:v>
      </x:c>
      <x:c r="J87" s="9" t="str">
        <x:v>https://es.marvelcdb.com/set/core</x:v>
      </x:c>
    </x:row>
    <x:row r="88" ht="20" customHeight="1">
      <x:c r="A88" s="9" t="str">
        <x:v>Core Set</x:v>
      </x:c>
      <x:c r="B88" s="9" t="str">
        <x:v>Caja básica</x:v>
      </x:c>
      <x:c r="C88" s="9" t="n">
        <x:v>87</x:v>
      </x:c>
      <x:c r="D88" s="9" t="str">
        <x:v>Haymaker</x:v>
      </x:c>
      <x:c r="E88" s="9" t="str">
        <x:v>Puñetazo demoledor</x:v>
      </x:c>
      <x:c r="F88" s="9" t="str">
        <x:v>Player</x:v>
      </x:c>
      <x:c r="G88" s="9" t="str">
        <x:v>Basic</x:v>
      </x:c>
      <x:c r="H88" s="9" t="str">
        <x:v>Básica</x:v>
      </x:c>
      <x:c r="I88" s="9" t="str">
        <x:v>https://marvelcdb.com/set/core</x:v>
      </x:c>
      <x:c r="J88" s="9" t="str">
        <x:v>https://es.marvelcdb.com/set/core</x:v>
      </x:c>
    </x:row>
    <x:row r="89" ht="20" customHeight="1">
      <x:c r="A89" s="9" t="str">
        <x:v>Core Set</x:v>
      </x:c>
      <x:c r="B89" s="9" t="str">
        <x:v>Caja básica</x:v>
      </x:c>
      <x:c r="C89" s="9" t="n">
        <x:v>88</x:v>
      </x:c>
      <x:c r="D89" s="9" t="str">
        <x:v>Energy</x:v>
      </x:c>
      <x:c r="E89" s="9" t="str">
        <x:v>Energía</x:v>
      </x:c>
      <x:c r="F89" s="9" t="str">
        <x:v>Player</x:v>
      </x:c>
      <x:c r="G89" s="9" t="str">
        <x:v>Basic</x:v>
      </x:c>
      <x:c r="H89" s="9" t="str">
        <x:v>Básica</x:v>
      </x:c>
      <x:c r="I89" s="9" t="str">
        <x:v>https://marvelcdb.com/set/core</x:v>
      </x:c>
      <x:c r="J89" s="9" t="str">
        <x:v>https://es.marvelcdb.com/set/core</x:v>
      </x:c>
    </x:row>
    <x:row r="90" ht="20" customHeight="1">
      <x:c r="A90" s="9" t="str">
        <x:v>Core Set</x:v>
      </x:c>
      <x:c r="B90" s="9" t="str">
        <x:v>Caja básica</x:v>
      </x:c>
      <x:c r="C90" s="9" t="n">
        <x:v>89</x:v>
      </x:c>
      <x:c r="D90" s="9" t="str">
        <x:v>Genius</x:v>
      </x:c>
      <x:c r="E90" s="9" t="str">
        <x:v>Genio</x:v>
      </x:c>
      <x:c r="F90" s="9" t="str">
        <x:v>Player</x:v>
      </x:c>
      <x:c r="G90" s="9" t="str">
        <x:v>Basic</x:v>
      </x:c>
      <x:c r="H90" s="9" t="str">
        <x:v>Básica</x:v>
      </x:c>
      <x:c r="I90" s="9" t="str">
        <x:v>https://marvelcdb.com/set/core</x:v>
      </x:c>
      <x:c r="J90" s="9" t="str">
        <x:v>https://es.marvelcdb.com/set/core</x:v>
      </x:c>
    </x:row>
    <x:row r="91" ht="20" customHeight="1">
      <x:c r="A91" s="9" t="str">
        <x:v>Core Set</x:v>
      </x:c>
      <x:c r="B91" s="9" t="str">
        <x:v>Caja básica</x:v>
      </x:c>
      <x:c r="C91" s="9" t="n">
        <x:v>90</x:v>
      </x:c>
      <x:c r="D91" s="9" t="str">
        <x:v>Strength</x:v>
      </x:c>
      <x:c r="E91" s="9" t="str">
        <x:v>Fuerza</x:v>
      </x:c>
      <x:c r="F91" s="9" t="str">
        <x:v>Player</x:v>
      </x:c>
      <x:c r="G91" s="9" t="str">
        <x:v>Basic</x:v>
      </x:c>
      <x:c r="H91" s="9" t="str">
        <x:v>Básica</x:v>
      </x:c>
      <x:c r="I91" s="9" t="str">
        <x:v>https://marvelcdb.com/set/core</x:v>
      </x:c>
      <x:c r="J91" s="9" t="str">
        <x:v>https://es.marvelcdb.com/set/core</x:v>
      </x:c>
    </x:row>
    <x:row r="92" ht="20" customHeight="1">
      <x:c r="A92" s="9" t="str">
        <x:v>Core Set</x:v>
      </x:c>
      <x:c r="B92" s="9" t="str">
        <x:v>Caja básica</x:v>
      </x:c>
      <x:c r="C92" s="9" t="n">
        <x:v>91</x:v>
      </x:c>
      <x:c r="D92" s="9" t="str">
        <x:v>Avengers Mansion</x:v>
      </x:c>
      <x:c r="E92" s="9" t="str">
        <x:v>Mansión de los Vengadores</x:v>
      </x:c>
      <x:c r="F92" s="9" t="str">
        <x:v>Player</x:v>
      </x:c>
      <x:c r="G92" s="9" t="str">
        <x:v>Basic</x:v>
      </x:c>
      <x:c r="H92" s="9" t="str">
        <x:v>Básica</x:v>
      </x:c>
      <x:c r="I92" s="9" t="str">
        <x:v>https://marvelcdb.com/set/core</x:v>
      </x:c>
      <x:c r="J92" s="9" t="str">
        <x:v>https://es.marvelcdb.com/set/core</x:v>
      </x:c>
    </x:row>
    <x:row r="93" ht="20" customHeight="1">
      <x:c r="A93" s="9" t="str">
        <x:v>Core Set</x:v>
      </x:c>
      <x:c r="B93" s="9" t="str">
        <x:v>Caja básica</x:v>
      </x:c>
      <x:c r="C93" s="9" t="n">
        <x:v>92</x:v>
      </x:c>
      <x:c r="D93" s="9" t="str">
        <x:v>Helicarrier</x:v>
      </x:c>
      <x:c r="E93" s="9" t="str">
        <x:v>Helitransporte</x:v>
      </x:c>
      <x:c r="F93" s="9" t="str">
        <x:v>Player</x:v>
      </x:c>
      <x:c r="G93" s="9" t="str">
        <x:v>Basic</x:v>
      </x:c>
      <x:c r="H93" s="9" t="str">
        <x:v>Básica</x:v>
      </x:c>
      <x:c r="I93" s="9" t="str">
        <x:v>https://marvelcdb.com/set/core</x:v>
      </x:c>
      <x:c r="J93" s="9" t="str">
        <x:v>https://es.marvelcdb.com/set/core</x:v>
      </x:c>
    </x:row>
    <x:row r="94" ht="20" customHeight="1">
      <x:c r="A94" s="9" t="str">
        <x:v>Core Set</x:v>
      </x:c>
      <x:c r="B94" s="9" t="str">
        <x:v>Caja básica</x:v>
      </x:c>
      <x:c r="C94" s="9" t="n">
        <x:v>93</x:v>
      </x:c>
      <x:c r="D94" s="9" t="str">
        <x:v>Tenacity</x:v>
      </x:c>
      <x:c r="E94" s="9" t="str">
        <x:v>Tenacidad</x:v>
      </x:c>
      <x:c r="F94" s="9" t="str">
        <x:v>Player</x:v>
      </x:c>
      <x:c r="G94" s="9" t="str">
        <x:v>Basic</x:v>
      </x:c>
      <x:c r="H94" s="9" t="str">
        <x:v>Básica</x:v>
      </x:c>
      <x:c r="I94" s="9" t="str">
        <x:v>https://marvelcdb.com/set/core</x:v>
      </x:c>
      <x:c r="J94" s="9" t="str">
        <x:v>https://es.marvelcdb.com/set/core</x:v>
      </x:c>
    </x:row>
    <x:row r="95" ht="20" customHeight="1">
      <x:c r="A95" s="9" t="str">
        <x:v>Core Set</x:v>
      </x:c>
      <x:c r="B95" s="9" t="str">
        <x:v>Caja básica</x:v>
      </x:c>
      <x:c r="C95" s="9" t="n">
        <x:v>94</x:v>
      </x:c>
      <x:c r="D95" s="9" t="str">
        <x:v>Rhino (I)</x:v>
      </x:c>
      <x:c r="E95" s="9" t="str">
        <x:v>Rino (I)</x:v>
      </x:c>
      <x:c r="F95" s="9" t="str">
        <x:v>Encounter</x:v>
      </x:c>
      <x:c r="G95" s="9" t="str">
        <x:v>Rhino</x:v>
      </x:c>
      <x:c r="H95" s="9" t="str">
        <x:v>Rino</x:v>
      </x:c>
      <x:c r="I95" s="9" t="str">
        <x:v>https://marvelcdb.com/set/core</x:v>
      </x:c>
      <x:c r="J95" s="9" t="str">
        <x:v>https://es.marvelcdb.com/set/core</x:v>
      </x:c>
    </x:row>
    <x:row r="96" ht="20" customHeight="1">
      <x:c r="A96" s="9" t="str">
        <x:v>Core Set</x:v>
      </x:c>
      <x:c r="B96" s="9" t="str">
        <x:v>Caja básica</x:v>
      </x:c>
      <x:c r="C96" s="9" t="n">
        <x:v>95</x:v>
      </x:c>
      <x:c r="D96" s="9" t="str">
        <x:v>Rhino (II)</x:v>
      </x:c>
      <x:c r="E96" s="9" t="str">
        <x:v>Rino (II)</x:v>
      </x:c>
      <x:c r="F96" s="9" t="str">
        <x:v>Encounter</x:v>
      </x:c>
      <x:c r="G96" s="9" t="str">
        <x:v>Rhino</x:v>
      </x:c>
      <x:c r="H96" s="9" t="str">
        <x:v>Rino</x:v>
      </x:c>
      <x:c r="I96" s="9" t="str">
        <x:v>https://marvelcdb.com/set/core</x:v>
      </x:c>
      <x:c r="J96" s="9" t="str">
        <x:v>https://es.marvelcdb.com/set/core</x:v>
      </x:c>
    </x:row>
    <x:row r="97" ht="20" customHeight="1">
      <x:c r="A97" s="9" t="str">
        <x:v>Core Set</x:v>
      </x:c>
      <x:c r="B97" s="9" t="str">
        <x:v>Caja básica</x:v>
      </x:c>
      <x:c r="C97" s="9" t="n">
        <x:v>96</x:v>
      </x:c>
      <x:c r="D97" s="9" t="str">
        <x:v>Rhino (III)</x:v>
      </x:c>
      <x:c r="E97" s="9" t="str">
        <x:v>Rino (III)</x:v>
      </x:c>
      <x:c r="F97" s="9" t="str">
        <x:v>Encounter</x:v>
      </x:c>
      <x:c r="G97" s="9" t="str">
        <x:v>Rhino</x:v>
      </x:c>
      <x:c r="H97" s="9" t="str">
        <x:v>Rino</x:v>
      </x:c>
      <x:c r="I97" s="9" t="str">
        <x:v>https://marvelcdb.com/set/core</x:v>
      </x:c>
      <x:c r="J97" s="9" t="str">
        <x:v>https://es.marvelcdb.com/set/core</x:v>
      </x:c>
    </x:row>
    <x:row r="98" ht="20" customHeight="1">
      <x:c r="A98" s="9" t="str">
        <x:v>Core Set</x:v>
      </x:c>
      <x:c r="B98" s="9" t="str">
        <x:v>Caja básica</x:v>
      </x:c>
      <x:c r="C98" s="9" t="n">
        <x:v>97</x:v>
      </x:c>
      <x:c r="D98" s="9" t="str">
        <x:v>The Break-In!</x:v>
      </x:c>
      <x:c r="E98" s="9" t="str">
        <x:v>¡Allanamiento!</x:v>
      </x:c>
      <x:c r="F98" s="9" t="str">
        <x:v>Encounter</x:v>
      </x:c>
      <x:c r="G98" s="9" t="str">
        <x:v>Rhino</x:v>
      </x:c>
      <x:c r="H98" s="9" t="str">
        <x:v>Rino</x:v>
      </x:c>
      <x:c r="I98" s="9" t="str">
        <x:v>https://marvelcdb.com/set/core</x:v>
      </x:c>
      <x:c r="J98" s="9" t="str">
        <x:v>https://es.marvelcdb.com/set/core</x:v>
      </x:c>
    </x:row>
    <x:row r="99" ht="20" customHeight="1">
      <x:c r="A99" s="9" t="str">
        <x:v>Core Set</x:v>
      </x:c>
      <x:c r="B99" s="9" t="str">
        <x:v>Caja básica</x:v>
      </x:c>
      <x:c r="C99" s="9" t="n">
        <x:v>98</x:v>
      </x:c>
      <x:c r="D99" s="9" t="str">
        <x:v>Armored Rhino Suit</x:v>
      </x:c>
      <x:c r="E99" s="9" t="str">
        <x:v>Piel blindada del Rino</x:v>
      </x:c>
      <x:c r="F99" s="9" t="str">
        <x:v>Encounter</x:v>
      </x:c>
      <x:c r="G99" s="9" t="str">
        <x:v>Rhino</x:v>
      </x:c>
      <x:c r="H99" s="9" t="str">
        <x:v>Rino</x:v>
      </x:c>
      <x:c r="I99" s="9" t="str">
        <x:v>https://marvelcdb.com/set/core</x:v>
      </x:c>
      <x:c r="J99" s="9" t="str">
        <x:v>https://es.marvelcdb.com/set/core</x:v>
      </x:c>
    </x:row>
    <x:row r="100" ht="20" customHeight="1">
      <x:c r="A100" s="9" t="str">
        <x:v>Core Set</x:v>
      </x:c>
      <x:c r="B100" s="9" t="str">
        <x:v>Caja básica</x:v>
      </x:c>
      <x:c r="C100" s="9" t="n">
        <x:v>99</x:v>
      </x:c>
      <x:c r="D100" s="9" t="str">
        <x:v>Charge</x:v>
      </x:c>
      <x:c r="E100" s="9" t="str">
        <x:v>Embestida</x:v>
      </x:c>
      <x:c r="F100" s="9" t="str">
        <x:v>Encounter</x:v>
      </x:c>
      <x:c r="G100" s="9" t="str">
        <x:v>Rhino</x:v>
      </x:c>
      <x:c r="H100" s="9" t="str">
        <x:v>Rino</x:v>
      </x:c>
      <x:c r="I100" s="9" t="str">
        <x:v>https://marvelcdb.com/set/core</x:v>
      </x:c>
      <x:c r="J100" s="9" t="str">
        <x:v>https://es.marvelcdb.com/set/core</x:v>
      </x:c>
    </x:row>
    <x:row r="101" ht="20" customHeight="1">
      <x:c r="A101" s="9" t="str">
        <x:v>Core Set</x:v>
      </x:c>
      <x:c r="B101" s="9" t="str">
        <x:v>Caja básica</x:v>
      </x:c>
      <x:c r="C101" s="9" t="n">
        <x:v>100</x:v>
      </x:c>
      <x:c r="D101" s="9" t="str">
        <x:v>Enhanced Ivory Horn</x:v>
      </x:c>
      <x:c r="E101" s="9" t="str">
        <x:v>Cuerno de marfil mejorado</x:v>
      </x:c>
      <x:c r="F101" s="9" t="str">
        <x:v>Encounter</x:v>
      </x:c>
      <x:c r="G101" s="9" t="str">
        <x:v>Rhino</x:v>
      </x:c>
      <x:c r="H101" s="9" t="str">
        <x:v>Rino</x:v>
      </x:c>
      <x:c r="I101" s="9" t="str">
        <x:v>https://marvelcdb.com/set/core</x:v>
      </x:c>
      <x:c r="J101" s="9" t="str">
        <x:v>https://es.marvelcdb.com/set/core</x:v>
      </x:c>
    </x:row>
    <x:row r="102" ht="20" customHeight="1">
      <x:c r="A102" s="9" t="str">
        <x:v>Core Set</x:v>
      </x:c>
      <x:c r="B102" s="9" t="str">
        <x:v>Caja básica</x:v>
      </x:c>
      <x:c r="C102" s="9" t="n">
        <x:v>101</x:v>
      </x:c>
      <x:c r="D102" s="9" t="str">
        <x:v>Hydra Mercenary</x:v>
      </x:c>
      <x:c r="E102" s="9" t="str">
        <x:v>Mercenario de Hydra</x:v>
      </x:c>
      <x:c r="F102" s="9" t="str">
        <x:v>Encounter</x:v>
      </x:c>
      <x:c r="G102" s="9" t="str">
        <x:v>Rhino</x:v>
      </x:c>
      <x:c r="H102" s="9" t="str">
        <x:v>Rino</x:v>
      </x:c>
      <x:c r="I102" s="9" t="str">
        <x:v>https://marvelcdb.com/set/core</x:v>
      </x:c>
      <x:c r="J102" s="9" t="str">
        <x:v>https://es.marvelcdb.com/set/core</x:v>
      </x:c>
    </x:row>
    <x:row r="103" ht="20" customHeight="1">
      <x:c r="A103" s="9" t="str">
        <x:v>Core Set</x:v>
      </x:c>
      <x:c r="B103" s="9" t="str">
        <x:v>Caja básica</x:v>
      </x:c>
      <x:c r="C103" s="9" t="n">
        <x:v>102</x:v>
      </x:c>
      <x:c r="D103" s="9" t="str">
        <x:v>Sandman</x:v>
      </x:c>
      <x:c r="E103" s="9" t="str">
        <x:v>Hombre de Arena</x:v>
      </x:c>
      <x:c r="F103" s="9" t="str">
        <x:v>Encounter</x:v>
      </x:c>
      <x:c r="G103" s="9" t="str">
        <x:v>Rhino</x:v>
      </x:c>
      <x:c r="H103" s="9" t="str">
        <x:v>Rino</x:v>
      </x:c>
      <x:c r="I103" s="9" t="str">
        <x:v>https://marvelcdb.com/set/core</x:v>
      </x:c>
      <x:c r="J103" s="9" t="str">
        <x:v>https://es.marvelcdb.com/set/core</x:v>
      </x:c>
    </x:row>
    <x:row r="104" ht="20" customHeight="1">
      <x:c r="A104" s="9" t="str">
        <x:v>Core Set</x:v>
      </x:c>
      <x:c r="B104" s="9" t="str">
        <x:v>Caja básica</x:v>
      </x:c>
      <x:c r="C104" s="9" t="n">
        <x:v>103</x:v>
      </x:c>
      <x:c r="D104" s="9" t="str">
        <x:v>Shocker</x:v>
      </x:c>
      <x:c r="E104" s="9" t="str">
        <x:v>Conmocionador</x:v>
      </x:c>
      <x:c r="F104" s="9" t="str">
        <x:v>Encounter</x:v>
      </x:c>
      <x:c r="G104" s="9" t="str">
        <x:v>Rhino</x:v>
      </x:c>
      <x:c r="H104" s="9" t="str">
        <x:v>Rino</x:v>
      </x:c>
      <x:c r="I104" s="9" t="str">
        <x:v>https://marvelcdb.com/set/core</x:v>
      </x:c>
      <x:c r="J104" s="9" t="str">
        <x:v>https://es.marvelcdb.com/set/core</x:v>
      </x:c>
    </x:row>
    <x:row r="105" ht="20" customHeight="1">
      <x:c r="A105" s="9" t="str">
        <x:v>Core Set</x:v>
      </x:c>
      <x:c r="B105" s="9" t="str">
        <x:v>Caja básica</x:v>
      </x:c>
      <x:c r="C105" s="9" t="n">
        <x:v>104</x:v>
      </x:c>
      <x:c r="D105" s="9" t="str">
        <x:v>Hard to Keep Down</x:v>
      </x:c>
      <x:c r="E105" s="9" t="str">
        <x:v>Difícil de tumbar</x:v>
      </x:c>
      <x:c r="F105" s="9" t="str">
        <x:v>Encounter</x:v>
      </x:c>
      <x:c r="G105" s="9" t="str">
        <x:v>Rhino</x:v>
      </x:c>
      <x:c r="H105" s="9" t="str">
        <x:v>Rino</x:v>
      </x:c>
      <x:c r="I105" s="9" t="str">
        <x:v>https://marvelcdb.com/set/core</x:v>
      </x:c>
      <x:c r="J105" s="9" t="str">
        <x:v>https://es.marvelcdb.com/set/core</x:v>
      </x:c>
    </x:row>
    <x:row r="106" ht="20" customHeight="1">
      <x:c r="A106" s="9" t="str">
        <x:v>Core Set</x:v>
      </x:c>
      <x:c r="B106" s="9" t="str">
        <x:v>Caja básica</x:v>
      </x:c>
      <x:c r="C106" s="9" t="n">
        <x:v>105</x:v>
      </x:c>
      <x:c r="D106" s="9" t="str">
        <x:v>"I'm Tough"</x:v>
      </x:c>
      <x:c r="E106" s="9" t="str">
        <x:v>"¡Soy duro!"</x:v>
      </x:c>
      <x:c r="F106" s="9" t="str">
        <x:v>Encounter</x:v>
      </x:c>
      <x:c r="G106" s="9" t="str">
        <x:v>Rhino</x:v>
      </x:c>
      <x:c r="H106" s="9" t="str">
        <x:v>Rino</x:v>
      </x:c>
      <x:c r="I106" s="9" t="str">
        <x:v>https://marvelcdb.com/set/core</x:v>
      </x:c>
      <x:c r="J106" s="9" t="str">
        <x:v>https://es.marvelcdb.com/set/core</x:v>
      </x:c>
    </x:row>
    <x:row r="107" ht="20" customHeight="1">
      <x:c r="A107" s="9" t="str">
        <x:v>Core Set</x:v>
      </x:c>
      <x:c r="B107" s="9" t="str">
        <x:v>Caja básica</x:v>
      </x:c>
      <x:c r="C107" s="9" t="n">
        <x:v>106</x:v>
      </x:c>
      <x:c r="D107" s="9" t="str">
        <x:v>Stampede</x:v>
      </x:c>
      <x:c r="E107" s="9" t="str">
        <x:v>Estampida</x:v>
      </x:c>
      <x:c r="F107" s="9" t="str">
        <x:v>Encounter</x:v>
      </x:c>
      <x:c r="G107" s="9" t="str">
        <x:v>Rhino</x:v>
      </x:c>
      <x:c r="H107" s="9" t="str">
        <x:v>Rino</x:v>
      </x:c>
      <x:c r="I107" s="9" t="str">
        <x:v>https://marvelcdb.com/set/core</x:v>
      </x:c>
      <x:c r="J107" s="9" t="str">
        <x:v>https://es.marvelcdb.com/set/core</x:v>
      </x:c>
    </x:row>
    <x:row r="108" ht="20" customHeight="1">
      <x:c r="A108" s="9" t="str">
        <x:v>Core Set</x:v>
      </x:c>
      <x:c r="B108" s="9" t="str">
        <x:v>Caja básica</x:v>
      </x:c>
      <x:c r="C108" s="9" t="n">
        <x:v>107</x:v>
      </x:c>
      <x:c r="D108" s="9" t="str">
        <x:v>Breakin' &amp; Takin'</x:v>
      </x:c>
      <x:c r="E108" s="9" t="str">
        <x:v>Arramblar con todo</x:v>
      </x:c>
      <x:c r="F108" s="9" t="str">
        <x:v>Encounter</x:v>
      </x:c>
      <x:c r="G108" s="9" t="str">
        <x:v>Rhino</x:v>
      </x:c>
      <x:c r="H108" s="9" t="str">
        <x:v>Rino</x:v>
      </x:c>
      <x:c r="I108" s="9" t="str">
        <x:v>https://marvelcdb.com/set/core</x:v>
      </x:c>
      <x:c r="J108" s="9" t="str">
        <x:v>https://es.marvelcdb.com/set/core</x:v>
      </x:c>
    </x:row>
    <x:row r="109" ht="20" customHeight="1">
      <x:c r="A109" s="9" t="str">
        <x:v>Core Set</x:v>
      </x:c>
      <x:c r="B109" s="9" t="str">
        <x:v>Caja básica</x:v>
      </x:c>
      <x:c r="C109" s="9" t="n">
        <x:v>108</x:v>
      </x:c>
      <x:c r="D109" s="9" t="str">
        <x:v>Crowd Control</x:v>
      </x:c>
      <x:c r="E109" s="9" t="str">
        <x:v>Control de multitudes</x:v>
      </x:c>
      <x:c r="F109" s="9" t="str">
        <x:v>Encounter</x:v>
      </x:c>
      <x:c r="G109" s="9" t="str">
        <x:v>Rhino</x:v>
      </x:c>
      <x:c r="H109" s="9" t="str">
        <x:v>Rino</x:v>
      </x:c>
      <x:c r="I109" s="9" t="str">
        <x:v>https://marvelcdb.com/set/core</x:v>
      </x:c>
      <x:c r="J109" s="9" t="str">
        <x:v>https://es.marvelcdb.com/set/core</x:v>
      </x:c>
    </x:row>
    <x:row r="110" ht="20" customHeight="1">
      <x:c r="A110" s="9" t="str">
        <x:v>Core Set</x:v>
      </x:c>
      <x:c r="B110" s="9" t="str">
        <x:v>Caja básica</x:v>
      </x:c>
      <x:c r="C110" s="9" t="n">
        <x:v>109</x:v>
      </x:c>
      <x:c r="D110" s="9" t="str">
        <x:v>Bomb Scare</x:v>
      </x:c>
      <x:c r="E110" s="9" t="str">
        <x:v>Amenaza de bomba</x:v>
      </x:c>
      <x:c r="F110" s="9" t="str">
        <x:v>Encounter</x:v>
      </x:c>
      <x:c r="G110" s="9" t="str">
        <x:v>Bomb Scare</x:v>
      </x:c>
      <x:c r="H110" s="9" t="str">
        <x:v>Amenaza de bomba</x:v>
      </x:c>
      <x:c r="I110" s="9" t="str">
        <x:v>https://marvelcdb.com/set/core</x:v>
      </x:c>
      <x:c r="J110" s="9" t="str">
        <x:v>https://es.marvelcdb.com/set/core</x:v>
      </x:c>
    </x:row>
    <x:row r="111" ht="20" customHeight="1">
      <x:c r="A111" s="9" t="str">
        <x:v>Core Set</x:v>
      </x:c>
      <x:c r="B111" s="9" t="str">
        <x:v>Caja básica</x:v>
      </x:c>
      <x:c r="C111" s="9" t="n">
        <x:v>110</x:v>
      </x:c>
      <x:c r="D111" s="9" t="str">
        <x:v>Hydra Bomber</x:v>
      </x:c>
      <x:c r="E111" s="9" t="str">
        <x:v>Terrorista de Hydra</x:v>
      </x:c>
      <x:c r="F111" s="9" t="str">
        <x:v>Encounter</x:v>
      </x:c>
      <x:c r="G111" s="9" t="str">
        <x:v>Bomb Scare</x:v>
      </x:c>
      <x:c r="H111" s="9" t="str">
        <x:v>Amenaza de bomba</x:v>
      </x:c>
      <x:c r="I111" s="9" t="str">
        <x:v>https://marvelcdb.com/set/core</x:v>
      </x:c>
      <x:c r="J111" s="9" t="str">
        <x:v>https://es.marvelcdb.com/set/core</x:v>
      </x:c>
    </x:row>
    <x:row r="112" ht="20" customHeight="1">
      <x:c r="A112" s="9" t="str">
        <x:v>Core Set</x:v>
      </x:c>
      <x:c r="B112" s="9" t="str">
        <x:v>Caja básica</x:v>
      </x:c>
      <x:c r="C112" s="9" t="n">
        <x:v>111</x:v>
      </x:c>
      <x:c r="D112" s="9" t="str">
        <x:v>Explosion</x:v>
      </x:c>
      <x:c r="E112" s="9" t="str">
        <x:v>Explosión</x:v>
      </x:c>
      <x:c r="F112" s="9" t="str">
        <x:v>Encounter</x:v>
      </x:c>
      <x:c r="G112" s="9" t="str">
        <x:v>Bomb Scare</x:v>
      </x:c>
      <x:c r="H112" s="9" t="str">
        <x:v>Amenaza de bomba</x:v>
      </x:c>
      <x:c r="I112" s="9" t="str">
        <x:v>https://marvelcdb.com/set/core</x:v>
      </x:c>
      <x:c r="J112" s="9" t="str">
        <x:v>https://es.marvelcdb.com/set/core</x:v>
      </x:c>
    </x:row>
    <x:row r="113" ht="20" customHeight="1">
      <x:c r="A113" s="9" t="str">
        <x:v>Core Set</x:v>
      </x:c>
      <x:c r="B113" s="9" t="str">
        <x:v>Caja básica</x:v>
      </x:c>
      <x:c r="C113" s="9" t="n">
        <x:v>112</x:v>
      </x:c>
      <x:c r="D113" s="9" t="str">
        <x:v>False Alarm</x:v>
      </x:c>
      <x:c r="E113" s="9" t="str">
        <x:v>Falsa alarma</x:v>
      </x:c>
      <x:c r="F113" s="9" t="str">
        <x:v>Encounter</x:v>
      </x:c>
      <x:c r="G113" s="9" t="str">
        <x:v>Bomb Scare</x:v>
      </x:c>
      <x:c r="H113" s="9" t="str">
        <x:v>Amenaza de bomba</x:v>
      </x:c>
      <x:c r="I113" s="9" t="str">
        <x:v>https://marvelcdb.com/set/core</x:v>
      </x:c>
      <x:c r="J113" s="9" t="str">
        <x:v>https://es.marvelcdb.com/set/core</x:v>
      </x:c>
    </x:row>
    <x:row r="114" ht="20" customHeight="1">
      <x:c r="A114" s="9" t="str">
        <x:v>Core Set</x:v>
      </x:c>
      <x:c r="B114" s="9" t="str">
        <x:v>Caja básica</x:v>
      </x:c>
      <x:c r="C114" s="9" t="n">
        <x:v>113</x:v>
      </x:c>
      <x:c r="D114" s="9" t="str">
        <x:v>Klaw (I)</x:v>
      </x:c>
      <x:c r="E114" s="9" t="str">
        <x:v>Klaw (I)</x:v>
      </x:c>
      <x:c r="F114" s="9" t="str">
        <x:v>Encounter</x:v>
      </x:c>
      <x:c r="G114" s="9" t="str">
        <x:v>Klaw</x:v>
      </x:c>
      <x:c r="H114" s="9" t="str">
        <x:v>Klaw</x:v>
      </x:c>
      <x:c r="I114" s="9" t="str">
        <x:v>https://marvelcdb.com/set/core</x:v>
      </x:c>
      <x:c r="J114" s="9" t="str">
        <x:v>https://es.marvelcdb.com/set/core</x:v>
      </x:c>
    </x:row>
    <x:row r="115" ht="20" customHeight="1">
      <x:c r="A115" s="9" t="str">
        <x:v>Core Set</x:v>
      </x:c>
      <x:c r="B115" s="9" t="str">
        <x:v>Caja básica</x:v>
      </x:c>
      <x:c r="C115" s="9" t="n">
        <x:v>114</x:v>
      </x:c>
      <x:c r="D115" s="9" t="str">
        <x:v>Klaw (II)</x:v>
      </x:c>
      <x:c r="E115" s="9" t="str">
        <x:v>Klaw (II)</x:v>
      </x:c>
      <x:c r="F115" s="9" t="str">
        <x:v>Encounter</x:v>
      </x:c>
      <x:c r="G115" s="9" t="str">
        <x:v>Klaw</x:v>
      </x:c>
      <x:c r="H115" s="9" t="str">
        <x:v>Klaw</x:v>
      </x:c>
      <x:c r="I115" s="9" t="str">
        <x:v>https://marvelcdb.com/set/core</x:v>
      </x:c>
      <x:c r="J115" s="9" t="str">
        <x:v>https://es.marvelcdb.com/set/core</x:v>
      </x:c>
    </x:row>
    <x:row r="116" ht="20" customHeight="1">
      <x:c r="A116" s="9" t="str">
        <x:v>Core Set</x:v>
      </x:c>
      <x:c r="B116" s="9" t="str">
        <x:v>Caja básica</x:v>
      </x:c>
      <x:c r="C116" s="9" t="n">
        <x:v>115</x:v>
      </x:c>
      <x:c r="D116" s="9" t="str">
        <x:v>Klaw (III)</x:v>
      </x:c>
      <x:c r="E116" s="9" t="str">
        <x:v>Klaw (III)</x:v>
      </x:c>
      <x:c r="F116" s="9" t="str">
        <x:v>Encounter</x:v>
      </x:c>
      <x:c r="G116" s="9" t="str">
        <x:v>Klaw</x:v>
      </x:c>
      <x:c r="H116" s="9" t="str">
        <x:v>Klaw</x:v>
      </x:c>
      <x:c r="I116" s="9" t="str">
        <x:v>https://marvelcdb.com/set/core</x:v>
      </x:c>
      <x:c r="J116" s="9" t="str">
        <x:v>https://es.marvelcdb.com/set/core</x:v>
      </x:c>
    </x:row>
    <x:row r="117" ht="20" customHeight="1">
      <x:c r="A117" s="9" t="str">
        <x:v>Core Set</x:v>
      </x:c>
      <x:c r="B117" s="9" t="str">
        <x:v>Caja básica</x:v>
      </x:c>
      <x:c r="C117" s="9" t="n">
        <x:v>116</x:v>
      </x:c>
      <x:c r="D117" s="9" t="str">
        <x:v>Underground Distribution</x:v>
      </x:c>
      <x:c r="E117" s="9" t="str">
        <x:v>Distribución clandestina</x:v>
      </x:c>
      <x:c r="F117" s="9" t="str">
        <x:v>Encounter</x:v>
      </x:c>
      <x:c r="G117" s="9" t="str">
        <x:v>Klaw</x:v>
      </x:c>
      <x:c r="H117" s="9" t="str">
        <x:v>Klaw</x:v>
      </x:c>
      <x:c r="I117" s="9" t="str">
        <x:v>https://marvelcdb.com/set/core</x:v>
      </x:c>
      <x:c r="J117" s="9" t="str">
        <x:v>https://es.marvelcdb.com/set/core</x:v>
      </x:c>
    </x:row>
    <x:row r="118" ht="20" customHeight="1">
      <x:c r="A118" s="9" t="str">
        <x:v>Core Set</x:v>
      </x:c>
      <x:c r="B118" s="9" t="str">
        <x:v>Caja básica</x:v>
      </x:c>
      <x:c r="C118" s="9" t="n">
        <x:v>117</x:v>
      </x:c>
      <x:c r="D118" s="9" t="str">
        <x:v>Secret Rendezvous</x:v>
      </x:c>
      <x:c r="E118" s="9" t="str">
        <x:v>Reunión secreta</x:v>
      </x:c>
      <x:c r="F118" s="9" t="str">
        <x:v>Encounter</x:v>
      </x:c>
      <x:c r="G118" s="9" t="str">
        <x:v>Klaw</x:v>
      </x:c>
      <x:c r="H118" s="9" t="str">
        <x:v>Klaw</x:v>
      </x:c>
      <x:c r="I118" s="9" t="str">
        <x:v>https://marvelcdb.com/set/core</x:v>
      </x:c>
      <x:c r="J118" s="9" t="str">
        <x:v>https://es.marvelcdb.com/set/core</x:v>
      </x:c>
    </x:row>
    <x:row r="119" ht="20" customHeight="1">
      <x:c r="A119" s="9" t="str">
        <x:v>Core Set</x:v>
      </x:c>
      <x:c r="B119" s="9" t="str">
        <x:v>Caja básica</x:v>
      </x:c>
      <x:c r="C119" s="9" t="n">
        <x:v>118</x:v>
      </x:c>
      <x:c r="D119" s="9" t="str">
        <x:v>Sonic Converter</x:v>
      </x:c>
      <x:c r="E119" s="9" t="str">
        <x:v>Transformador sónico</x:v>
      </x:c>
      <x:c r="F119" s="9" t="str">
        <x:v>Encounter</x:v>
      </x:c>
      <x:c r="G119" s="9" t="str">
        <x:v>Klaw</x:v>
      </x:c>
      <x:c r="H119" s="9" t="str">
        <x:v>Klaw</x:v>
      </x:c>
      <x:c r="I119" s="9" t="str">
        <x:v>https://marvelcdb.com/set/core</x:v>
      </x:c>
      <x:c r="J119" s="9" t="str">
        <x:v>https://es.marvelcdb.com/set/core</x:v>
      </x:c>
    </x:row>
    <x:row r="120" ht="20" customHeight="1">
      <x:c r="A120" s="9" t="str">
        <x:v>Core Set</x:v>
      </x:c>
      <x:c r="B120" s="9" t="str">
        <x:v>Caja básica</x:v>
      </x:c>
      <x:c r="C120" s="9" t="n">
        <x:v>119</x:v>
      </x:c>
      <x:c r="D120" s="9" t="str">
        <x:v>Solid-Sound Body</x:v>
      </x:c>
      <x:c r="E120" s="9" t="str">
        <x:v>Cuerpo de sonido sólido</x:v>
      </x:c>
      <x:c r="F120" s="9" t="str">
        <x:v>Encounter</x:v>
      </x:c>
      <x:c r="G120" s="9" t="str">
        <x:v>Klaw</x:v>
      </x:c>
      <x:c r="H120" s="9" t="str">
        <x:v>Klaw</x:v>
      </x:c>
      <x:c r="I120" s="9" t="str">
        <x:v>https://marvelcdb.com/set/core</x:v>
      </x:c>
      <x:c r="J120" s="9" t="str">
        <x:v>https://es.marvelcdb.com/set/core</x:v>
      </x:c>
    </x:row>
    <x:row r="121" ht="20" customHeight="1">
      <x:c r="A121" s="9" t="str">
        <x:v>Core Set</x:v>
      </x:c>
      <x:c r="B121" s="9" t="str">
        <x:v>Caja básica</x:v>
      </x:c>
      <x:c r="C121" s="9" t="n">
        <x:v>120</x:v>
      </x:c>
      <x:c r="D121" s="9" t="str">
        <x:v>Armored Guard</x:v>
      </x:c>
      <x:c r="E121" s="9" t="str">
        <x:v>Guardia acorazado</x:v>
      </x:c>
      <x:c r="F121" s="9" t="str">
        <x:v>Encounter</x:v>
      </x:c>
      <x:c r="G121" s="9" t="str">
        <x:v>Klaw</x:v>
      </x:c>
      <x:c r="H121" s="9" t="str">
        <x:v>Klaw</x:v>
      </x:c>
      <x:c r="I121" s="9" t="str">
        <x:v>https://marvelcdb.com/set/core</x:v>
      </x:c>
      <x:c r="J121" s="9" t="str">
        <x:v>https://es.marvelcdb.com/set/core</x:v>
      </x:c>
    </x:row>
    <x:row r="122" ht="20" customHeight="1">
      <x:c r="A122" s="9" t="str">
        <x:v>Core Set</x:v>
      </x:c>
      <x:c r="B122" s="9" t="str">
        <x:v>Caja básica</x:v>
      </x:c>
      <x:c r="C122" s="9" t="n">
        <x:v>121</x:v>
      </x:c>
      <x:c r="D122" s="9" t="str">
        <x:v>Weapons Runner</x:v>
      </x:c>
      <x:c r="E122" s="9" t="str">
        <x:v>Traficante de armas</x:v>
      </x:c>
      <x:c r="F122" s="9" t="str">
        <x:v>Encounter</x:v>
      </x:c>
      <x:c r="G122" s="9" t="str">
        <x:v>Klaw</x:v>
      </x:c>
      <x:c r="H122" s="9" t="str">
        <x:v>Klaw</x:v>
      </x:c>
      <x:c r="I122" s="9" t="str">
        <x:v>https://marvelcdb.com/set/core</x:v>
      </x:c>
      <x:c r="J122" s="9" t="str">
        <x:v>https://es.marvelcdb.com/set/core</x:v>
      </x:c>
    </x:row>
    <x:row r="123" ht="20" customHeight="1">
      <x:c r="A123" s="9" t="str">
        <x:v>Core Set</x:v>
      </x:c>
      <x:c r="B123" s="9" t="str">
        <x:v>Caja básica</x:v>
      </x:c>
      <x:c r="C123" s="9" t="n">
        <x:v>122</x:v>
      </x:c>
      <x:c r="D123" s="9" t="str">
        <x:v>Klaw's Vengeance</x:v>
      </x:c>
      <x:c r="E123" s="9" t="str">
        <x:v>La venganza de Klaw</x:v>
      </x:c>
      <x:c r="F123" s="9" t="str">
        <x:v>Encounter</x:v>
      </x:c>
      <x:c r="G123" s="9" t="str">
        <x:v>Klaw</x:v>
      </x:c>
      <x:c r="H123" s="9" t="str">
        <x:v>Klaw</x:v>
      </x:c>
      <x:c r="I123" s="9" t="str">
        <x:v>https://marvelcdb.com/set/core</x:v>
      </x:c>
      <x:c r="J123" s="9" t="str">
        <x:v>https://es.marvelcdb.com/set/core</x:v>
      </x:c>
    </x:row>
    <x:row r="124" ht="20" customHeight="1">
      <x:c r="A124" s="9" t="str">
        <x:v>Core Set</x:v>
      </x:c>
      <x:c r="B124" s="9" t="str">
        <x:v>Caja básica</x:v>
      </x:c>
      <x:c r="C124" s="9" t="n">
        <x:v>123</x:v>
      </x:c>
      <x:c r="D124" s="9" t="str">
        <x:v>Sonic Boom</x:v>
      </x:c>
      <x:c r="E124" s="9" t="str">
        <x:v>Estallido sónico</x:v>
      </x:c>
      <x:c r="F124" s="9" t="str">
        <x:v>Encounter</x:v>
      </x:c>
      <x:c r="G124" s="9" t="str">
        <x:v>Klaw</x:v>
      </x:c>
      <x:c r="H124" s="9" t="str">
        <x:v>Klaw</x:v>
      </x:c>
      <x:c r="I124" s="9" t="str">
        <x:v>https://marvelcdb.com/set/core</x:v>
      </x:c>
      <x:c r="J124" s="9" t="str">
        <x:v>https://es.marvelcdb.com/set/core</x:v>
      </x:c>
    </x:row>
    <x:row r="125" ht="20" customHeight="1">
      <x:c r="A125" s="9" t="str">
        <x:v>Core Set</x:v>
      </x:c>
      <x:c r="B125" s="9" t="str">
        <x:v>Caja básica</x:v>
      </x:c>
      <x:c r="C125" s="9" t="n">
        <x:v>124</x:v>
      </x:c>
      <x:c r="D125" s="9" t="str">
        <x:v>Sound Manipulation</x:v>
      </x:c>
      <x:c r="E125" s="9" t="str">
        <x:v>Manipulación del sonido</x:v>
      </x:c>
      <x:c r="F125" s="9" t="str">
        <x:v>Encounter</x:v>
      </x:c>
      <x:c r="G125" s="9" t="str">
        <x:v>Klaw</x:v>
      </x:c>
      <x:c r="H125" s="9" t="str">
        <x:v>Klaw</x:v>
      </x:c>
      <x:c r="I125" s="9" t="str">
        <x:v>https://marvelcdb.com/set/core</x:v>
      </x:c>
      <x:c r="J125" s="9" t="str">
        <x:v>https://es.marvelcdb.com/set/core</x:v>
      </x:c>
    </x:row>
    <x:row r="126" ht="20" customHeight="1">
      <x:c r="A126" s="9" t="str">
        <x:v>Core Set</x:v>
      </x:c>
      <x:c r="B126" s="9" t="str">
        <x:v>Caja básica</x:v>
      </x:c>
      <x:c r="C126" s="9" t="n">
        <x:v>125</x:v>
      </x:c>
      <x:c r="D126" s="9" t="str">
        <x:v>Defense Network</x:v>
      </x:c>
      <x:c r="E126" s="9" t="str">
        <x:v>Red de defensa</x:v>
      </x:c>
      <x:c r="F126" s="9" t="str">
        <x:v>Encounter</x:v>
      </x:c>
      <x:c r="G126" s="9" t="str">
        <x:v>Klaw</x:v>
      </x:c>
      <x:c r="H126" s="9" t="str">
        <x:v>Klaw</x:v>
      </x:c>
      <x:c r="I126" s="9" t="str">
        <x:v>https://marvelcdb.com/set/core</x:v>
      </x:c>
      <x:c r="J126" s="9" t="str">
        <x:v>https://es.marvelcdb.com/set/core</x:v>
      </x:c>
    </x:row>
    <x:row r="127" ht="20" customHeight="1">
      <x:c r="A127" s="9" t="str">
        <x:v>Core Set</x:v>
      </x:c>
      <x:c r="B127" s="9" t="str">
        <x:v>Caja básica</x:v>
      </x:c>
      <x:c r="C127" s="9" t="n">
        <x:v>126</x:v>
      </x:c>
      <x:c r="D127" s="9" t="str">
        <x:v>Illegal Arms Factory</x:v>
      </x:c>
      <x:c r="E127" s="9" t="str">
        <x:v>Fábrica de armamento ilegal</x:v>
      </x:c>
      <x:c r="F127" s="9" t="str">
        <x:v>Encounter</x:v>
      </x:c>
      <x:c r="G127" s="9" t="str">
        <x:v>Klaw</x:v>
      </x:c>
      <x:c r="H127" s="9" t="str">
        <x:v>Klaw</x:v>
      </x:c>
      <x:c r="I127" s="9" t="str">
        <x:v>https://marvelcdb.com/set/core</x:v>
      </x:c>
      <x:c r="J127" s="9" t="str">
        <x:v>https://es.marvelcdb.com/set/core</x:v>
      </x:c>
    </x:row>
    <x:row r="128" ht="20" customHeight="1">
      <x:c r="A128" s="9" t="str">
        <x:v>Core Set</x:v>
      </x:c>
      <x:c r="B128" s="9" t="str">
        <x:v>Caja básica</x:v>
      </x:c>
      <x:c r="C128" s="9" t="n">
        <x:v>127</x:v>
      </x:c>
      <x:c r="D128" s="9" t="str">
        <x:v>The "Immortal" Klaw</x:v>
      </x:c>
      <x:c r="E128" s="9" t="str">
        <x:v>Klaw "el inmortal"</x:v>
      </x:c>
      <x:c r="F128" s="9" t="str">
        <x:v>Encounter</x:v>
      </x:c>
      <x:c r="G128" s="9" t="str">
        <x:v>Klaw</x:v>
      </x:c>
      <x:c r="H128" s="9" t="str">
        <x:v>Klaw</x:v>
      </x:c>
      <x:c r="I128" s="9" t="str">
        <x:v>https://marvelcdb.com/set/core</x:v>
      </x:c>
      <x:c r="J128" s="9" t="str">
        <x:v>https://es.marvelcdb.com/set/core</x:v>
      </x:c>
    </x:row>
    <x:row r="129" ht="20" customHeight="1">
      <x:c r="A129" s="9" t="str">
        <x:v>Core Set</x:v>
      </x:c>
      <x:c r="B129" s="9" t="str">
        <x:v>Caja básica</x:v>
      </x:c>
      <x:c r="C129" s="9" t="n">
        <x:v>128</x:v>
      </x:c>
      <x:c r="D129" s="9" t="str">
        <x:v>The Masters of Evil</x:v>
      </x:c>
      <x:c r="E129" s="9" t="str">
        <x:v>Los Señores del Mal</x:v>
      </x:c>
      <x:c r="F129" s="9" t="str">
        <x:v>Encounter</x:v>
      </x:c>
      <x:c r="G129" s="9" t="str">
        <x:v>Masters of Evil</x:v>
      </x:c>
      <x:c r="H129" s="9" t="str">
        <x:v>Señores del Mal</x:v>
      </x:c>
      <x:c r="I129" s="9" t="str">
        <x:v>https://marvelcdb.com/set/core</x:v>
      </x:c>
      <x:c r="J129" s="9" t="str">
        <x:v>https://es.marvelcdb.com/set/core</x:v>
      </x:c>
    </x:row>
    <x:row r="130" ht="20" customHeight="1">
      <x:c r="A130" s="9" t="str">
        <x:v>Core Set</x:v>
      </x:c>
      <x:c r="B130" s="9" t="str">
        <x:v>Caja básica</x:v>
      </x:c>
      <x:c r="C130" s="9" t="n">
        <x:v>129</x:v>
      </x:c>
      <x:c r="D130" s="9" t="str">
        <x:v>Radioactive Man</x:v>
      </x:c>
      <x:c r="E130" s="9" t="str">
        <x:v>Hombre Radiactivo</x:v>
      </x:c>
      <x:c r="F130" s="9" t="str">
        <x:v>Encounter</x:v>
      </x:c>
      <x:c r="G130" s="9" t="str">
        <x:v>Masters of Evil</x:v>
      </x:c>
      <x:c r="H130" s="9" t="str">
        <x:v>Señores del Mal</x:v>
      </x:c>
      <x:c r="I130" s="9" t="str">
        <x:v>https://marvelcdb.com/set/core</x:v>
      </x:c>
      <x:c r="J130" s="9" t="str">
        <x:v>https://es.marvelcdb.com/set/core</x:v>
      </x:c>
    </x:row>
    <x:row r="131" ht="20" customHeight="1">
      <x:c r="A131" s="9" t="str">
        <x:v>Core Set</x:v>
      </x:c>
      <x:c r="B131" s="9" t="str">
        <x:v>Caja básica</x:v>
      </x:c>
      <x:c r="C131" s="9" t="n">
        <x:v>130</x:v>
      </x:c>
      <x:c r="D131" s="9" t="str">
        <x:v>Whirlwind</x:v>
      </x:c>
      <x:c r="E131" s="9" t="str">
        <x:v>Torbellino</x:v>
      </x:c>
      <x:c r="F131" s="9" t="str">
        <x:v>Encounter</x:v>
      </x:c>
      <x:c r="G131" s="9" t="str">
        <x:v>Masters of Evil</x:v>
      </x:c>
      <x:c r="H131" s="9" t="str">
        <x:v>Señores del Mal</x:v>
      </x:c>
      <x:c r="I131" s="9" t="str">
        <x:v>https://marvelcdb.com/set/core</x:v>
      </x:c>
      <x:c r="J131" s="9" t="str">
        <x:v>https://es.marvelcdb.com/set/core</x:v>
      </x:c>
    </x:row>
    <x:row r="132" ht="20" customHeight="1">
      <x:c r="A132" s="9" t="str">
        <x:v>Core Set</x:v>
      </x:c>
      <x:c r="B132" s="9" t="str">
        <x:v>Caja básica</x:v>
      </x:c>
      <x:c r="C132" s="9" t="n">
        <x:v>131</x:v>
      </x:c>
      <x:c r="D132" s="9" t="str">
        <x:v>Tiger Shark</x:v>
      </x:c>
      <x:c r="E132" s="9" t="str">
        <x:v>Tiburón Tigre</x:v>
      </x:c>
      <x:c r="F132" s="9" t="str">
        <x:v>Encounter</x:v>
      </x:c>
      <x:c r="G132" s="9" t="str">
        <x:v>Masters of Evil</x:v>
      </x:c>
      <x:c r="H132" s="9" t="str">
        <x:v>Señores del Mal</x:v>
      </x:c>
      <x:c r="I132" s="9" t="str">
        <x:v>https://marvelcdb.com/set/core</x:v>
      </x:c>
      <x:c r="J132" s="9" t="str">
        <x:v>https://es.marvelcdb.com/set/core</x:v>
      </x:c>
    </x:row>
    <x:row r="133" ht="20" customHeight="1">
      <x:c r="A133" s="9" t="str">
        <x:v>Core Set</x:v>
      </x:c>
      <x:c r="B133" s="9" t="str">
        <x:v>Caja básica</x:v>
      </x:c>
      <x:c r="C133" s="9" t="n">
        <x:v>132</x:v>
      </x:c>
      <x:c r="D133" s="9" t="str">
        <x:v>Melter</x:v>
      </x:c>
      <x:c r="E133" s="9" t="str">
        <x:v>Fundidor</x:v>
      </x:c>
      <x:c r="F133" s="9" t="str">
        <x:v>Encounter</x:v>
      </x:c>
      <x:c r="G133" s="9" t="str">
        <x:v>Masters of Evil</x:v>
      </x:c>
      <x:c r="H133" s="9" t="str">
        <x:v>Señores del Mal</x:v>
      </x:c>
      <x:c r="I133" s="9" t="str">
        <x:v>https://marvelcdb.com/set/core</x:v>
      </x:c>
      <x:c r="J133" s="9" t="str">
        <x:v>https://es.marvelcdb.com/set/core</x:v>
      </x:c>
    </x:row>
    <x:row r="134" ht="20" customHeight="1">
      <x:c r="A134" s="9" t="str">
        <x:v>Core Set</x:v>
      </x:c>
      <x:c r="B134" s="9" t="str">
        <x:v>Caja básica</x:v>
      </x:c>
      <x:c r="C134" s="9" t="n">
        <x:v>133</x:v>
      </x:c>
      <x:c r="D134" s="9" t="str">
        <x:v>Masters of Mayhem</x:v>
      </x:c>
      <x:c r="E134" s="9" t="str">
        <x:v>Señores del caos</x:v>
      </x:c>
      <x:c r="F134" s="9" t="str">
        <x:v>Encounter</x:v>
      </x:c>
      <x:c r="G134" s="9" t="str">
        <x:v>Masters of Evil</x:v>
      </x:c>
      <x:c r="H134" s="9" t="str">
        <x:v>Señores del Mal</x:v>
      </x:c>
      <x:c r="I134" s="9" t="str">
        <x:v>https://marvelcdb.com/set/core</x:v>
      </x:c>
      <x:c r="J134" s="9" t="str">
        <x:v>https://es.marvelcdb.com/set/core</x:v>
      </x:c>
    </x:row>
    <x:row r="135" ht="20" customHeight="1">
      <x:c r="A135" s="9" t="str">
        <x:v>Core Set</x:v>
      </x:c>
      <x:c r="B135" s="9" t="str">
        <x:v>Caja básica</x:v>
      </x:c>
      <x:c r="C135" s="9" t="n">
        <x:v>134</x:v>
      </x:c>
      <x:c r="D135" s="9" t="str">
        <x:v>Ultron (I)</x:v>
      </x:c>
      <x:c r="E135" s="9" t="str">
        <x:v>Ultrón (I)</x:v>
      </x:c>
      <x:c r="F135" s="9" t="str">
        <x:v>Encounter</x:v>
      </x:c>
      <x:c r="G135" s="9" t="str">
        <x:v>Ultron</x:v>
      </x:c>
      <x:c r="H135" s="9" t="str">
        <x:v>Ultrón</x:v>
      </x:c>
      <x:c r="I135" s="9" t="str">
        <x:v>https://marvelcdb.com/set/core</x:v>
      </x:c>
      <x:c r="J135" s="9" t="str">
        <x:v>https://es.marvelcdb.com/set/core</x:v>
      </x:c>
    </x:row>
    <x:row r="136" ht="20" customHeight="1">
      <x:c r="A136" s="9" t="str">
        <x:v>Core Set</x:v>
      </x:c>
      <x:c r="B136" s="9" t="str">
        <x:v>Caja básica</x:v>
      </x:c>
      <x:c r="C136" s="9" t="n">
        <x:v>135</x:v>
      </x:c>
      <x:c r="D136" s="9" t="str">
        <x:v>Ultron (II)</x:v>
      </x:c>
      <x:c r="E136" s="9" t="str">
        <x:v>Ultrón (II)</x:v>
      </x:c>
      <x:c r="F136" s="9" t="str">
        <x:v>Encounter</x:v>
      </x:c>
      <x:c r="G136" s="9" t="str">
        <x:v>Ultron</x:v>
      </x:c>
      <x:c r="H136" s="9" t="str">
        <x:v>Ultrón</x:v>
      </x:c>
      <x:c r="I136" s="9" t="str">
        <x:v>https://marvelcdb.com/set/core</x:v>
      </x:c>
      <x:c r="J136" s="9" t="str">
        <x:v>https://es.marvelcdb.com/set/core</x:v>
      </x:c>
    </x:row>
    <x:row r="137" ht="20" customHeight="1">
      <x:c r="A137" s="9" t="str">
        <x:v>Core Set</x:v>
      </x:c>
      <x:c r="B137" s="9" t="str">
        <x:v>Caja básica</x:v>
      </x:c>
      <x:c r="C137" s="9" t="n">
        <x:v>136</x:v>
      </x:c>
      <x:c r="D137" s="9" t="str">
        <x:v>Ultron (III)</x:v>
      </x:c>
      <x:c r="E137" s="9" t="str">
        <x:v>Ultrón (III)</x:v>
      </x:c>
      <x:c r="F137" s="9" t="str">
        <x:v>Encounter</x:v>
      </x:c>
      <x:c r="G137" s="9" t="str">
        <x:v>Ultron</x:v>
      </x:c>
      <x:c r="H137" s="9" t="str">
        <x:v>Ultrón</x:v>
      </x:c>
      <x:c r="I137" s="9" t="str">
        <x:v>https://marvelcdb.com/set/core</x:v>
      </x:c>
      <x:c r="J137" s="9" t="str">
        <x:v>https://es.marvelcdb.com/set/core</x:v>
      </x:c>
    </x:row>
    <x:row r="138" ht="20" customHeight="1">
      <x:c r="A138" s="9" t="str">
        <x:v>Core Set</x:v>
      </x:c>
      <x:c r="B138" s="9" t="str">
        <x:v>Caja básica</x:v>
      </x:c>
      <x:c r="C138" s="9" t="n">
        <x:v>137</x:v>
      </x:c>
      <x:c r="D138" s="9" t="str">
        <x:v>The Crimson Cowl</x:v>
      </x:c>
      <x:c r="E138" s="9" t="str">
        <x:v>La Capucha Carmesí</x:v>
      </x:c>
      <x:c r="F138" s="9" t="str">
        <x:v>Encounter</x:v>
      </x:c>
      <x:c r="G138" s="9" t="str">
        <x:v>Ultron</x:v>
      </x:c>
      <x:c r="H138" s="9" t="str">
        <x:v>Ultrón</x:v>
      </x:c>
      <x:c r="I138" s="9" t="str">
        <x:v>https://marvelcdb.com/set/core</x:v>
      </x:c>
      <x:c r="J138" s="9" t="str">
        <x:v>https://es.marvelcdb.com/set/core</x:v>
      </x:c>
    </x:row>
    <x:row r="139" ht="20" customHeight="1">
      <x:c r="A139" s="9" t="str">
        <x:v>Core Set</x:v>
      </x:c>
      <x:c r="B139" s="9" t="str">
        <x:v>Caja básica</x:v>
      </x:c>
      <x:c r="C139" s="9" t="n">
        <x:v>138</x:v>
      </x:c>
      <x:c r="D139" s="9" t="str">
        <x:v>Assault on NORAD</x:v>
      </x:c>
      <x:c r="E139" s="9" t="str">
        <x:v>Ataque al NORAD</x:v>
      </x:c>
      <x:c r="F139" s="9" t="str">
        <x:v>Encounter</x:v>
      </x:c>
      <x:c r="G139" s="9" t="str">
        <x:v>Ultron</x:v>
      </x:c>
      <x:c r="H139" s="9" t="str">
        <x:v>Ultrón</x:v>
      </x:c>
      <x:c r="I139" s="9" t="str">
        <x:v>https://marvelcdb.com/set/core</x:v>
      </x:c>
      <x:c r="J139" s="9" t="str">
        <x:v>https://es.marvelcdb.com/set/core</x:v>
      </x:c>
    </x:row>
    <x:row r="140" ht="20" customHeight="1">
      <x:c r="A140" s="9" t="str">
        <x:v>Core Set</x:v>
      </x:c>
      <x:c r="B140" s="9" t="str">
        <x:v>Caja básica</x:v>
      </x:c>
      <x:c r="C140" s="9" t="n">
        <x:v>139</x:v>
      </x:c>
      <x:c r="D140" s="9" t="str">
        <x:v>Countdown to Oblivion</x:v>
      </x:c>
      <x:c r="E140" s="9" t="str">
        <x:v>Cuenta atrás para el olvido</x:v>
      </x:c>
      <x:c r="F140" s="9" t="str">
        <x:v>Encounter</x:v>
      </x:c>
      <x:c r="G140" s="9" t="str">
        <x:v>Ultron</x:v>
      </x:c>
      <x:c r="H140" s="9" t="str">
        <x:v>Ultrón</x:v>
      </x:c>
      <x:c r="I140" s="9" t="str">
        <x:v>https://marvelcdb.com/set/core</x:v>
      </x:c>
      <x:c r="J140" s="9" t="str">
        <x:v>https://es.marvelcdb.com/set/core</x:v>
      </x:c>
    </x:row>
    <x:row r="141" ht="20" customHeight="1">
      <x:c r="A141" s="9" t="str">
        <x:v>Core Set</x:v>
      </x:c>
      <x:c r="B141" s="9" t="str">
        <x:v>Caja básica</x:v>
      </x:c>
      <x:c r="C141" s="9" t="n">
        <x:v>140</x:v>
      </x:c>
      <x:c r="D141" s="9" t="str">
        <x:v>Ultron Drones</x:v>
      </x:c>
      <x:c r="E141" s="9" t="str">
        <x:v>Drones de Ultrón</x:v>
      </x:c>
      <x:c r="F141" s="9" t="str">
        <x:v>Encounter</x:v>
      </x:c>
      <x:c r="G141" s="9" t="str">
        <x:v>Ultron</x:v>
      </x:c>
      <x:c r="H141" s="9" t="str">
        <x:v>Ultrón</x:v>
      </x:c>
      <x:c r="I141" s="9" t="str">
        <x:v>https://marvelcdb.com/set/core</x:v>
      </x:c>
      <x:c r="J141" s="9" t="str">
        <x:v>https://es.marvelcdb.com/set/core</x:v>
      </x:c>
    </x:row>
    <x:row r="142" ht="20" customHeight="1">
      <x:c r="A142" s="9" t="str">
        <x:v>Core Set</x:v>
      </x:c>
      <x:c r="B142" s="9" t="str">
        <x:v>Caja básica</x:v>
      </x:c>
      <x:c r="C142" s="9" t="n">
        <x:v>141</x:v>
      </x:c>
      <x:c r="D142" s="9" t="str">
        <x:v>Program Transmitter</x:v>
      </x:c>
      <x:c r="E142" s="9" t="str">
        <x:v>Transmisor de programa</x:v>
      </x:c>
      <x:c r="F142" s="9" t="str">
        <x:v>Encounter</x:v>
      </x:c>
      <x:c r="G142" s="9" t="str">
        <x:v>Ultron</x:v>
      </x:c>
      <x:c r="H142" s="9" t="str">
        <x:v>Ultrón</x:v>
      </x:c>
      <x:c r="I142" s="9" t="str">
        <x:v>https://marvelcdb.com/set/core</x:v>
      </x:c>
      <x:c r="J142" s="9" t="str">
        <x:v>https://es.marvelcdb.com/set/core</x:v>
      </x:c>
    </x:row>
    <x:row r="143" ht="20" customHeight="1">
      <x:c r="A143" s="9" t="str">
        <x:v>Core Set</x:v>
      </x:c>
      <x:c r="B143" s="9" t="str">
        <x:v>Caja básica</x:v>
      </x:c>
      <x:c r="C143" s="9" t="n">
        <x:v>142</x:v>
      </x:c>
      <x:c r="D143" s="9" t="str">
        <x:v>Upgraded Drones</x:v>
      </x:c>
      <x:c r="E143" s="9" t="str">
        <x:v>Drones mejorados</x:v>
      </x:c>
      <x:c r="F143" s="9" t="str">
        <x:v>Encounter</x:v>
      </x:c>
      <x:c r="G143" s="9" t="str">
        <x:v>Ultron</x:v>
      </x:c>
      <x:c r="H143" s="9" t="str">
        <x:v>Ultrón</x:v>
      </x:c>
      <x:c r="I143" s="9" t="str">
        <x:v>https://marvelcdb.com/set/core</x:v>
      </x:c>
      <x:c r="J143" s="9" t="str">
        <x:v>https://es.marvelcdb.com/set/core</x:v>
      </x:c>
    </x:row>
    <x:row r="144" ht="20" customHeight="1">
      <x:c r="A144" s="9" t="str">
        <x:v>Core Set</x:v>
      </x:c>
      <x:c r="B144" s="9" t="str">
        <x:v>Caja básica</x:v>
      </x:c>
      <x:c r="C144" s="9" t="n">
        <x:v>143</x:v>
      </x:c>
      <x:c r="D144" s="9" t="str">
        <x:v>Advanced Ultron Drone</x:v>
      </x:c>
      <x:c r="E144" s="9" t="str">
        <x:v>Dron avanzado de Ultrón</x:v>
      </x:c>
      <x:c r="F144" s="9" t="str">
        <x:v>Encounter</x:v>
      </x:c>
      <x:c r="G144" s="9" t="str">
        <x:v>Ultron</x:v>
      </x:c>
      <x:c r="H144" s="9" t="str">
        <x:v>Ultrón</x:v>
      </x:c>
      <x:c r="I144" s="9" t="str">
        <x:v>https://marvelcdb.com/set/core</x:v>
      </x:c>
      <x:c r="J144" s="9" t="str">
        <x:v>https://es.marvelcdb.com/set/core</x:v>
      </x:c>
    </x:row>
    <x:row r="145" ht="20" customHeight="1">
      <x:c r="A145" s="9" t="str">
        <x:v>Core Set</x:v>
      </x:c>
      <x:c r="B145" s="9" t="str">
        <x:v>Caja básica</x:v>
      </x:c>
      <x:c r="C145" s="9" t="n">
        <x:v>144</x:v>
      </x:c>
      <x:c r="D145" s="9" t="str">
        <x:v>Android Efficiency</x:v>
      </x:c>
      <x:c r="E145" s="9" t="str">
        <x:v>Eficacia androide</x:v>
      </x:c>
      <x:c r="F145" s="9" t="str">
        <x:v>Encounter</x:v>
      </x:c>
      <x:c r="G145" s="9" t="str">
        <x:v>Ultron</x:v>
      </x:c>
      <x:c r="H145" s="9" t="str">
        <x:v>Ultrón</x:v>
      </x:c>
      <x:c r="I145" s="9" t="str">
        <x:v>https://marvelcdb.com/set/core</x:v>
      </x:c>
      <x:c r="J145" s="9" t="str">
        <x:v>https://es.marvelcdb.com/set/core</x:v>
      </x:c>
    </x:row>
    <x:row r="146" ht="20" customHeight="1">
      <x:c r="A146" s="9" t="str">
        <x:v>Core Set</x:v>
      </x:c>
      <x:c r="B146" s="9" t="str">
        <x:v>Caja básica</x:v>
      </x:c>
      <x:c r="C146" s="9" t="n">
        <x:v>145</x:v>
      </x:c>
      <x:c r="D146" s="9" t="str">
        <x:v>Rage of Ultron</x:v>
      </x:c>
      <x:c r="E146" s="9" t="str">
        <x:v>La cólera de Ultrón</x:v>
      </x:c>
      <x:c r="F146" s="9" t="str">
        <x:v>Encounter</x:v>
      </x:c>
      <x:c r="G146" s="9" t="str">
        <x:v>Ultron</x:v>
      </x:c>
      <x:c r="H146" s="9" t="str">
        <x:v>Ultrón</x:v>
      </x:c>
      <x:c r="I146" s="9" t="str">
        <x:v>https://marvelcdb.com/set/core</x:v>
      </x:c>
      <x:c r="J146" s="9" t="str">
        <x:v>https://es.marvelcdb.com/set/core</x:v>
      </x:c>
    </x:row>
    <x:row r="147" ht="20" customHeight="1">
      <x:c r="A147" s="9" t="str">
        <x:v>Core Set</x:v>
      </x:c>
      <x:c r="B147" s="9" t="str">
        <x:v>Caja básica</x:v>
      </x:c>
      <x:c r="C147" s="9" t="n">
        <x:v>146</x:v>
      </x:c>
      <x:c r="D147" s="9" t="str">
        <x:v>Repair Sequence</x:v>
      </x:c>
      <x:c r="E147" s="9" t="str">
        <x:v>Secuencia de reparación</x:v>
      </x:c>
      <x:c r="F147" s="9" t="str">
        <x:v>Encounter</x:v>
      </x:c>
      <x:c r="G147" s="9" t="str">
        <x:v>Ultron</x:v>
      </x:c>
      <x:c r="H147" s="9" t="str">
        <x:v>Ultrón</x:v>
      </x:c>
      <x:c r="I147" s="9" t="str">
        <x:v>https://marvelcdb.com/set/core</x:v>
      </x:c>
      <x:c r="J147" s="9" t="str">
        <x:v>https://es.marvelcdb.com/set/core</x:v>
      </x:c>
    </x:row>
    <x:row r="148" ht="20" customHeight="1">
      <x:c r="A148" s="9" t="str">
        <x:v>Core Set</x:v>
      </x:c>
      <x:c r="B148" s="9" t="str">
        <x:v>Caja básica</x:v>
      </x:c>
      <x:c r="C148" s="9" t="n">
        <x:v>147</x:v>
      </x:c>
      <x:c r="D148" s="9" t="str">
        <x:v>Swarm Attack</x:v>
      </x:c>
      <x:c r="E148" s="9" t="str">
        <x:v>Ejército robótico</x:v>
      </x:c>
      <x:c r="F148" s="9" t="str">
        <x:v>Encounter</x:v>
      </x:c>
      <x:c r="G148" s="9" t="str">
        <x:v>Ultron</x:v>
      </x:c>
      <x:c r="H148" s="9" t="str">
        <x:v>Ultrón</x:v>
      </x:c>
      <x:c r="I148" s="9" t="str">
        <x:v>https://marvelcdb.com/set/core</x:v>
      </x:c>
      <x:c r="J148" s="9" t="str">
        <x:v>https://es.marvelcdb.com/set/core</x:v>
      </x:c>
    </x:row>
    <x:row r="149" ht="20" customHeight="1">
      <x:c r="A149" s="9" t="str">
        <x:v>Core Set</x:v>
      </x:c>
      <x:c r="B149" s="9" t="str">
        <x:v>Caja básica</x:v>
      </x:c>
      <x:c r="C149" s="9" t="n">
        <x:v>148</x:v>
      </x:c>
      <x:c r="D149" s="9" t="str">
        <x:v>Drone Factory</x:v>
      </x:c>
      <x:c r="E149" s="9" t="str">
        <x:v>Fábrica de drones</x:v>
      </x:c>
      <x:c r="F149" s="9" t="str">
        <x:v>Encounter</x:v>
      </x:c>
      <x:c r="G149" s="9" t="str">
        <x:v>Ultron</x:v>
      </x:c>
      <x:c r="H149" s="9" t="str">
        <x:v>Ultrón</x:v>
      </x:c>
      <x:c r="I149" s="9" t="str">
        <x:v>https://marvelcdb.com/set/core</x:v>
      </x:c>
      <x:c r="J149" s="9" t="str">
        <x:v>https://es.marvelcdb.com/set/core</x:v>
      </x:c>
    </x:row>
    <x:row r="150" ht="20" customHeight="1">
      <x:c r="A150" s="9" t="str">
        <x:v>Core Set</x:v>
      </x:c>
      <x:c r="B150" s="9" t="str">
        <x:v>Caja básica</x:v>
      </x:c>
      <x:c r="C150" s="9" t="n">
        <x:v>149</x:v>
      </x:c>
      <x:c r="D150" s="9" t="str">
        <x:v>Invasive AI</x:v>
      </x:c>
      <x:c r="E150" s="9" t="str">
        <x:v>IA invasiva</x:v>
      </x:c>
      <x:c r="F150" s="9" t="str">
        <x:v>Encounter</x:v>
      </x:c>
      <x:c r="G150" s="9" t="str">
        <x:v>Ultron</x:v>
      </x:c>
      <x:c r="H150" s="9" t="str">
        <x:v>Ultrón</x:v>
      </x:c>
      <x:c r="I150" s="9" t="str">
        <x:v>https://marvelcdb.com/set/core</x:v>
      </x:c>
      <x:c r="J150" s="9" t="str">
        <x:v>https://es.marvelcdb.com/set/core</x:v>
      </x:c>
    </x:row>
    <x:row r="151" ht="20" customHeight="1">
      <x:c r="A151" s="9" t="str">
        <x:v>Core Set</x:v>
      </x:c>
      <x:c r="B151" s="9" t="str">
        <x:v>Caja básica</x:v>
      </x:c>
      <x:c r="C151" s="9" t="n">
        <x:v>150</x:v>
      </x:c>
      <x:c r="D151" s="9" t="str">
        <x:v>Ultron's Imperative</x:v>
      </x:c>
      <x:c r="E151" s="9" t="str">
        <x:v>La Directriz Ultrón</x:v>
      </x:c>
      <x:c r="F151" s="9" t="str">
        <x:v>Encounter</x:v>
      </x:c>
      <x:c r="G151" s="9" t="str">
        <x:v>Ultron</x:v>
      </x:c>
      <x:c r="H151" s="9" t="str">
        <x:v>Ultrón</x:v>
      </x:c>
      <x:c r="I151" s="9" t="str">
        <x:v>https://marvelcdb.com/set/core</x:v>
      </x:c>
      <x:c r="J151" s="9" t="str">
        <x:v>https://es.marvelcdb.com/set/core</x:v>
      </x:c>
    </x:row>
    <x:row r="152" ht="20" customHeight="1">
      <x:c r="A152" s="9" t="str">
        <x:v>Core Set</x:v>
      </x:c>
      <x:c r="B152" s="9" t="str">
        <x:v>Caja básica</x:v>
      </x:c>
      <x:c r="C152" s="9" t="n">
        <x:v>151</x:v>
      </x:c>
      <x:c r="D152" s="9" t="str">
        <x:v>Under Attack</x:v>
      </x:c>
      <x:c r="E152" s="9" t="str">
        <x:v>Civiles en peligro</x:v>
      </x:c>
      <x:c r="F152" s="9" t="str">
        <x:v>Encounter</x:v>
      </x:c>
      <x:c r="G152" s="9" t="str">
        <x:v>Under Attack</x:v>
      </x:c>
      <x:c r="H152" s="9" t="str">
        <x:v>Civiles en peligro</x:v>
      </x:c>
      <x:c r="I152" s="9" t="str">
        <x:v>https://marvelcdb.com/set/core</x:v>
      </x:c>
      <x:c r="J152" s="9" t="str">
        <x:v>https://es.marvelcdb.com/set/core</x:v>
      </x:c>
    </x:row>
    <x:row r="153" ht="20" customHeight="1">
      <x:c r="A153" s="9" t="str">
        <x:v>Core Set</x:v>
      </x:c>
      <x:c r="B153" s="9" t="str">
        <x:v>Caja básica</x:v>
      </x:c>
      <x:c r="C153" s="9" t="n">
        <x:v>152</x:v>
      </x:c>
      <x:c r="D153" s="9" t="str">
        <x:v>Vibranium Armor</x:v>
      </x:c>
      <x:c r="E153" s="9" t="str">
        <x:v>Armadura de Vibránium</x:v>
      </x:c>
      <x:c r="F153" s="9" t="str">
        <x:v>Encounter</x:v>
      </x:c>
      <x:c r="G153" s="9" t="str">
        <x:v>Under Attack</x:v>
      </x:c>
      <x:c r="H153" s="9" t="str">
        <x:v>Civiles en peligro</x:v>
      </x:c>
      <x:c r="I153" s="9" t="str">
        <x:v>https://marvelcdb.com/set/core</x:v>
      </x:c>
      <x:c r="J153" s="9" t="str">
        <x:v>https://es.marvelcdb.com/set/core</x:v>
      </x:c>
    </x:row>
    <x:row r="154" ht="20" customHeight="1">
      <x:c r="A154" s="9" t="str">
        <x:v>Core Set</x:v>
      </x:c>
      <x:c r="B154" s="9" t="str">
        <x:v>Caja básica</x:v>
      </x:c>
      <x:c r="C154" s="9" t="n">
        <x:v>153</x:v>
      </x:c>
      <x:c r="D154" s="9" t="str">
        <x:v>Concussion Blasters</x:v>
      </x:c>
      <x:c r="E154" s="9" t="str">
        <x:v>Rayos de fuerza</x:v>
      </x:c>
      <x:c r="F154" s="9" t="str">
        <x:v>Encounter</x:v>
      </x:c>
      <x:c r="G154" s="9" t="str">
        <x:v>Under Attack</x:v>
      </x:c>
      <x:c r="H154" s="9" t="str">
        <x:v>Civiles en peligro</x:v>
      </x:c>
      <x:c r="I154" s="9" t="str">
        <x:v>https://marvelcdb.com/set/core</x:v>
      </x:c>
      <x:c r="J154" s="9" t="str">
        <x:v>https://es.marvelcdb.com/set/core</x:v>
      </x:c>
    </x:row>
    <x:row r="155" ht="20" customHeight="1">
      <x:c r="A155" s="9" t="str">
        <x:v>Core Set</x:v>
      </x:c>
      <x:c r="B155" s="9" t="str">
        <x:v>Caja básica</x:v>
      </x:c>
      <x:c r="C155" s="9" t="n">
        <x:v>154</x:v>
      </x:c>
      <x:c r="D155" s="9" t="str">
        <x:v>Concussive Blast</x:v>
      </x:c>
      <x:c r="E155" s="9" t="str">
        <x:v>Descarga fulminante</x:v>
      </x:c>
      <x:c r="F155" s="9" t="str">
        <x:v>Encounter</x:v>
      </x:c>
      <x:c r="G155" s="9" t="str">
        <x:v>Under Attack</x:v>
      </x:c>
      <x:c r="H155" s="9" t="str">
        <x:v>Civiles en peligro</x:v>
      </x:c>
      <x:c r="I155" s="9" t="str">
        <x:v>https://marvelcdb.com/set/core</x:v>
      </x:c>
      <x:c r="J155" s="9" t="str">
        <x:v>https://es.marvelcdb.com/set/core</x:v>
      </x:c>
    </x:row>
    <x:row r="156" ht="20" customHeight="1">
      <x:c r="A156" s="9" t="str">
        <x:v>Core Set</x:v>
      </x:c>
      <x:c r="B156" s="9" t="str">
        <x:v>Caja básica</x:v>
      </x:c>
      <x:c r="C156" s="9" t="n">
        <x:v>155</x:v>
      </x:c>
      <x:c r="D156" s="9" t="str">
        <x:v>Affairs of State</x:v>
      </x:c>
      <x:c r="E156" s="9" t="str">
        <x:v>Asuntos de estado</x:v>
      </x:c>
      <x:c r="F156" s="9" t="str">
        <x:v>Encounter</x:v>
      </x:c>
      <x:c r="G156" s="9" t="str">
        <x:v>Black Panther Nemesis</x:v>
      </x:c>
      <x:c r="H156" s="9" t="str">
        <x:v>Archienemigo de Pantera Negra</x:v>
      </x:c>
      <x:c r="I156" s="9" t="str">
        <x:v>https://marvelcdb.com/set/core</x:v>
      </x:c>
      <x:c r="J156" s="9" t="str">
        <x:v>https://es.marvelcdb.com/set/core</x:v>
      </x:c>
    </x:row>
    <x:row r="157" ht="20" customHeight="1">
      <x:c r="A157" s="9" t="str">
        <x:v>Core Set</x:v>
      </x:c>
      <x:c r="B157" s="9" t="str">
        <x:v>Caja básica</x:v>
      </x:c>
      <x:c r="C157" s="9" t="n">
        <x:v>156</x:v>
      </x:c>
      <x:c r="D157" s="9" t="str">
        <x:v>Usurp The Throne</x:v>
      </x:c>
      <x:c r="E157" s="9" t="str">
        <x:v>Usurpar el trono</x:v>
      </x:c>
      <x:c r="F157" s="9" t="str">
        <x:v>Encounter</x:v>
      </x:c>
      <x:c r="G157" s="9" t="str">
        <x:v>Black Panther Nemesis</x:v>
      </x:c>
      <x:c r="H157" s="9" t="str">
        <x:v>Archienemigo de Pantera Negra</x:v>
      </x:c>
      <x:c r="I157" s="9" t="str">
        <x:v>https://marvelcdb.com/set/core</x:v>
      </x:c>
      <x:c r="J157" s="9" t="str">
        <x:v>https://es.marvelcdb.com/set/core</x:v>
      </x:c>
    </x:row>
    <x:row r="158" ht="20" customHeight="1">
      <x:c r="A158" s="9" t="str">
        <x:v>Core Set</x:v>
      </x:c>
      <x:c r="B158" s="9" t="str">
        <x:v>Caja básica</x:v>
      </x:c>
      <x:c r="C158" s="9" t="n">
        <x:v>157</x:v>
      </x:c>
      <x:c r="D158" s="9" t="str">
        <x:v>Killmonger</x:v>
      </x:c>
      <x:c r="E158" s="9" t="str">
        <x:v>Killmonger</x:v>
      </x:c>
      <x:c r="F158" s="9" t="str">
        <x:v>Encounter</x:v>
      </x:c>
      <x:c r="G158" s="9" t="str">
        <x:v>Black Panther Nemesis</x:v>
      </x:c>
      <x:c r="H158" s="9" t="str">
        <x:v>Archienemigo de Pantera Negra</x:v>
      </x:c>
      <x:c r="I158" s="9" t="str">
        <x:v>https://marvelcdb.com/set/core</x:v>
      </x:c>
      <x:c r="J158" s="9" t="str">
        <x:v>https://es.marvelcdb.com/set/core</x:v>
      </x:c>
    </x:row>
    <x:row r="159" ht="20" customHeight="1">
      <x:c r="A159" s="9" t="str">
        <x:v>Core Set</x:v>
      </x:c>
      <x:c r="B159" s="9" t="str">
        <x:v>Caja básica</x:v>
      </x:c>
      <x:c r="C159" s="9" t="n">
        <x:v>158</x:v>
      </x:c>
      <x:c r="D159" s="9" t="str">
        <x:v>Heart-Shaped Herb</x:v>
      </x:c>
      <x:c r="E159" s="9" t="str">
        <x:v>Hierba con forma de corazón</x:v>
      </x:c>
      <x:c r="F159" s="9" t="str">
        <x:v>Encounter</x:v>
      </x:c>
      <x:c r="G159" s="9" t="str">
        <x:v>Black Panther Nemesis</x:v>
      </x:c>
      <x:c r="H159" s="9" t="str">
        <x:v>Archienemigo de Pantera Negra</x:v>
      </x:c>
      <x:c r="I159" s="9" t="str">
        <x:v>https://marvelcdb.com/set/core</x:v>
      </x:c>
      <x:c r="J159" s="9" t="str">
        <x:v>https://es.marvelcdb.com/set/core</x:v>
      </x:c>
    </x:row>
    <x:row r="160" ht="20" customHeight="1">
      <x:c r="A160" s="9" t="str">
        <x:v>Core Set</x:v>
      </x:c>
      <x:c r="B160" s="9" t="str">
        <x:v>Caja básica</x:v>
      </x:c>
      <x:c r="C160" s="9" t="n">
        <x:v>159</x:v>
      </x:c>
      <x:c r="D160" s="9" t="str">
        <x:v>Ritual Combat</x:v>
      </x:c>
      <x:c r="E160" s="9" t="str">
        <x:v>Combate ritual</x:v>
      </x:c>
      <x:c r="F160" s="9" t="str">
        <x:v>Encounter</x:v>
      </x:c>
      <x:c r="G160" s="9" t="str">
        <x:v>Black Panther Nemesis</x:v>
      </x:c>
      <x:c r="H160" s="9" t="str">
        <x:v>Archienemigo de Pantera Negra</x:v>
      </x:c>
      <x:c r="I160" s="9" t="str">
        <x:v>https://marvelcdb.com/set/core</x:v>
      </x:c>
      <x:c r="J160" s="9" t="str">
        <x:v>https://es.marvelcdb.com/set/core</x:v>
      </x:c>
    </x:row>
    <x:row r="161" ht="20" customHeight="1">
      <x:c r="A161" s="9" t="str">
        <x:v>Core Set</x:v>
      </x:c>
      <x:c r="B161" s="9" t="str">
        <x:v>Caja básica</x:v>
      </x:c>
      <x:c r="C161" s="9" t="n">
        <x:v>160</x:v>
      </x:c>
      <x:c r="D161" s="9" t="str">
        <x:v>Legal Work</x:v>
      </x:c>
      <x:c r="E161" s="9" t="str">
        <x:v>Trabajo jurídico</x:v>
      </x:c>
      <x:c r="F161" s="9" t="str">
        <x:v>Encounter</x:v>
      </x:c>
      <x:c r="G161" s="9" t="str">
        <x:v>She-Hulk Nemesis</x:v>
      </x:c>
      <x:c r="H161" s="9" t="str">
        <x:v>Archienemigo de Hulka</x:v>
      </x:c>
      <x:c r="I161" s="9" t="str">
        <x:v>https://marvelcdb.com/set/core</x:v>
      </x:c>
      <x:c r="J161" s="9" t="str">
        <x:v>https://es.marvelcdb.com/set/core</x:v>
      </x:c>
    </x:row>
    <x:row r="162" ht="20" customHeight="1">
      <x:c r="A162" s="9" t="str">
        <x:v>Core Set</x:v>
      </x:c>
      <x:c r="B162" s="9" t="str">
        <x:v>Caja básica</x:v>
      </x:c>
      <x:c r="C162" s="9" t="n">
        <x:v>161</x:v>
      </x:c>
      <x:c r="D162" s="9" t="str">
        <x:v>Personal Challenge</x:v>
      </x:c>
      <x:c r="E162" s="9" t="str">
        <x:v>Reto personal</x:v>
      </x:c>
      <x:c r="F162" s="9" t="str">
        <x:v>Encounter</x:v>
      </x:c>
      <x:c r="G162" s="9" t="str">
        <x:v>She-Hulk Nemesis</x:v>
      </x:c>
      <x:c r="H162" s="9" t="str">
        <x:v>Archienemigo de Hulka</x:v>
      </x:c>
      <x:c r="I162" s="9" t="str">
        <x:v>https://marvelcdb.com/set/core</x:v>
      </x:c>
      <x:c r="J162" s="9" t="str">
        <x:v>https://es.marvelcdb.com/set/core</x:v>
      </x:c>
    </x:row>
    <x:row r="163" ht="20" customHeight="1">
      <x:c r="A163" s="9" t="str">
        <x:v>Core Set</x:v>
      </x:c>
      <x:c r="B163" s="9" t="str">
        <x:v>Caja básica</x:v>
      </x:c>
      <x:c r="C163" s="9" t="n">
        <x:v>162</x:v>
      </x:c>
      <x:c r="D163" s="9" t="str">
        <x:v>Titania</x:v>
      </x:c>
      <x:c r="E163" s="9" t="str">
        <x:v>Titania</x:v>
      </x:c>
      <x:c r="F163" s="9" t="str">
        <x:v>Encounter</x:v>
      </x:c>
      <x:c r="G163" s="9" t="str">
        <x:v>She-Hulk Nemesis</x:v>
      </x:c>
      <x:c r="H163" s="9" t="str">
        <x:v>Archienemigo de Hulka</x:v>
      </x:c>
      <x:c r="I163" s="9" t="str">
        <x:v>https://marvelcdb.com/set/core</x:v>
      </x:c>
      <x:c r="J163" s="9" t="str">
        <x:v>https://es.marvelcdb.com/set/core</x:v>
      </x:c>
    </x:row>
    <x:row r="164" ht="20" customHeight="1">
      <x:c r="A164" s="9" t="str">
        <x:v>Core Set</x:v>
      </x:c>
      <x:c r="B164" s="9" t="str">
        <x:v>Caja básica</x:v>
      </x:c>
      <x:c r="C164" s="9" t="n">
        <x:v>163</x:v>
      </x:c>
      <x:c r="D164" s="9" t="str">
        <x:v>Genetically Enhanced</x:v>
      </x:c>
      <x:c r="E164" s="9" t="str">
        <x:v>Mejora genética</x:v>
      </x:c>
      <x:c r="F164" s="9" t="str">
        <x:v>Encounter</x:v>
      </x:c>
      <x:c r="G164" s="9" t="str">
        <x:v>She-Hulk Nemesis</x:v>
      </x:c>
      <x:c r="H164" s="9" t="str">
        <x:v>Archienemigo de Hulka</x:v>
      </x:c>
      <x:c r="I164" s="9" t="str">
        <x:v>https://marvelcdb.com/set/core</x:v>
      </x:c>
      <x:c r="J164" s="9" t="str">
        <x:v>https://es.marvelcdb.com/set/core</x:v>
      </x:c>
    </x:row>
    <x:row r="165" ht="20" customHeight="1">
      <x:c r="A165" s="9" t="str">
        <x:v>Core Set</x:v>
      </x:c>
      <x:c r="B165" s="9" t="str">
        <x:v>Caja básica</x:v>
      </x:c>
      <x:c r="C165" s="9" t="n">
        <x:v>164</x:v>
      </x:c>
      <x:c r="D165" s="9" t="str">
        <x:v>Titania's Fury</x:v>
      </x:c>
      <x:c r="E165" s="9" t="str">
        <x:v>La furia de Titania</x:v>
      </x:c>
      <x:c r="F165" s="9" t="str">
        <x:v>Encounter</x:v>
      </x:c>
      <x:c r="G165" s="9" t="str">
        <x:v>She-Hulk Nemesis</x:v>
      </x:c>
      <x:c r="H165" s="9" t="str">
        <x:v>Archienemigo de Hulka</x:v>
      </x:c>
      <x:c r="I165" s="9" t="str">
        <x:v>https://marvelcdb.com/set/core</x:v>
      </x:c>
      <x:c r="J165" s="9" t="str">
        <x:v>https://es.marvelcdb.com/set/core</x:v>
      </x:c>
    </x:row>
    <x:row r="166" ht="20" customHeight="1">
      <x:c r="A166" s="9" t="str">
        <x:v>Core Set</x:v>
      </x:c>
      <x:c r="B166" s="9" t="str">
        <x:v>Caja básica</x:v>
      </x:c>
      <x:c r="C166" s="9" t="n">
        <x:v>165</x:v>
      </x:c>
      <x:c r="D166" s="9" t="str">
        <x:v>Eviction Notice</x:v>
      </x:c>
      <x:c r="E166" s="9" t="str">
        <x:v>Aviso de desahucio</x:v>
      </x:c>
      <x:c r="F166" s="9" t="str">
        <x:v>Encounter</x:v>
      </x:c>
      <x:c r="G166" s="9" t="str">
        <x:v>Spider-Man Nemesis</x:v>
      </x:c>
      <x:c r="H166" s="9" t="str">
        <x:v>Archienemigo de Spiderman</x:v>
      </x:c>
      <x:c r="I166" s="9" t="str">
        <x:v>https://marvelcdb.com/set/core</x:v>
      </x:c>
      <x:c r="J166" s="9" t="str">
        <x:v>https://es.marvelcdb.com/set/core</x:v>
      </x:c>
    </x:row>
    <x:row r="167" ht="20" customHeight="1">
      <x:c r="A167" s="9" t="str">
        <x:v>Core Set</x:v>
      </x:c>
      <x:c r="B167" s="9" t="str">
        <x:v>Caja básica</x:v>
      </x:c>
      <x:c r="C167" s="9" t="n">
        <x:v>166</x:v>
      </x:c>
      <x:c r="D167" s="9" t="str">
        <x:v>Highway Robbery</x:v>
      </x:c>
      <x:c r="E167" s="9" t="str">
        <x:v>Ladrón Alado</x:v>
      </x:c>
      <x:c r="F167" s="9" t="str">
        <x:v>Encounter</x:v>
      </x:c>
      <x:c r="G167" s="9" t="str">
        <x:v>Spider-Man Nemesis</x:v>
      </x:c>
      <x:c r="H167" s="9" t="str">
        <x:v>Archienemigo de Spiderman</x:v>
      </x:c>
      <x:c r="I167" s="9" t="str">
        <x:v>https://marvelcdb.com/set/core</x:v>
      </x:c>
      <x:c r="J167" s="9" t="str">
        <x:v>https://es.marvelcdb.com/set/core</x:v>
      </x:c>
    </x:row>
    <x:row r="168" ht="20" customHeight="1">
      <x:c r="A168" s="9" t="str">
        <x:v>Core Set</x:v>
      </x:c>
      <x:c r="B168" s="9" t="str">
        <x:v>Caja básica</x:v>
      </x:c>
      <x:c r="C168" s="9" t="n">
        <x:v>167</x:v>
      </x:c>
      <x:c r="D168" s="9" t="str">
        <x:v>Vulture</x:v>
      </x:c>
      <x:c r="E168" s="9" t="str">
        <x:v>Buitre</x:v>
      </x:c>
      <x:c r="F168" s="9" t="str">
        <x:v>Encounter</x:v>
      </x:c>
      <x:c r="G168" s="9" t="str">
        <x:v>Spider-Man Nemesis</x:v>
      </x:c>
      <x:c r="H168" s="9" t="str">
        <x:v>Archienemigo de Spiderman</x:v>
      </x:c>
      <x:c r="I168" s="9" t="str">
        <x:v>https://marvelcdb.com/set/core</x:v>
      </x:c>
      <x:c r="J168" s="9" t="str">
        <x:v>https://es.marvelcdb.com/set/core</x:v>
      </x:c>
    </x:row>
    <x:row r="169" ht="20" customHeight="1">
      <x:c r="A169" s="9" t="str">
        <x:v>Core Set</x:v>
      </x:c>
      <x:c r="B169" s="9" t="str">
        <x:v>Caja básica</x:v>
      </x:c>
      <x:c r="C169" s="9" t="n">
        <x:v>168</x:v>
      </x:c>
      <x:c r="D169" s="9" t="str">
        <x:v>Sweeping Swoop</x:v>
      </x:c>
      <x:c r="E169" s="9" t="str">
        <x:v>Picado arrollador</x:v>
      </x:c>
      <x:c r="F169" s="9" t="str">
        <x:v>Encounter</x:v>
      </x:c>
      <x:c r="G169" s="9" t="str">
        <x:v>Spider-Man Nemesis</x:v>
      </x:c>
      <x:c r="H169" s="9" t="str">
        <x:v>Archienemigo de Spiderman</x:v>
      </x:c>
      <x:c r="I169" s="9" t="str">
        <x:v>https://marvelcdb.com/set/core</x:v>
      </x:c>
      <x:c r="J169" s="9" t="str">
        <x:v>https://es.marvelcdb.com/set/core</x:v>
      </x:c>
    </x:row>
    <x:row r="170" ht="20" customHeight="1">
      <x:c r="A170" s="9" t="str">
        <x:v>Core Set</x:v>
      </x:c>
      <x:c r="B170" s="9" t="str">
        <x:v>Caja básica</x:v>
      </x:c>
      <x:c r="C170" s="9" t="n">
        <x:v>169</x:v>
      </x:c>
      <x:c r="D170" s="9" t="str">
        <x:v>The Vulture's Plans</x:v>
      </x:c>
      <x:c r="E170" s="9" t="str">
        <x:v>Los planes del Buitre</x:v>
      </x:c>
      <x:c r="F170" s="9" t="str">
        <x:v>Encounter</x:v>
      </x:c>
      <x:c r="G170" s="9" t="str">
        <x:v>Spider-Man Nemesis</x:v>
      </x:c>
      <x:c r="H170" s="9" t="str">
        <x:v>Archienemigo de Spiderman</x:v>
      </x:c>
      <x:c r="I170" s="9" t="str">
        <x:v>https://marvelcdb.com/set/core</x:v>
      </x:c>
      <x:c r="J170" s="9" t="str">
        <x:v>https://es.marvelcdb.com/set/core</x:v>
      </x:c>
    </x:row>
    <x:row r="171" ht="20" customHeight="1">
      <x:c r="A171" s="9" t="str">
        <x:v>Core Set</x:v>
      </x:c>
      <x:c r="B171" s="9" t="str">
        <x:v>Caja básica</x:v>
      </x:c>
      <x:c r="C171" s="9" t="n">
        <x:v>170</x:v>
      </x:c>
      <x:c r="D171" s="9" t="str">
        <x:v>Business Problems</x:v>
      </x:c>
      <x:c r="E171" s="9" t="str">
        <x:v>Problemas de negocios</x:v>
      </x:c>
      <x:c r="F171" s="9" t="str">
        <x:v>Encounter</x:v>
      </x:c>
      <x:c r="G171" s="9" t="str">
        <x:v>Iron Man Nemesis</x:v>
      </x:c>
      <x:c r="H171" s="9" t="str">
        <x:v>Archienemigo de Iron Man</x:v>
      </x:c>
      <x:c r="I171" s="9" t="str">
        <x:v>https://marvelcdb.com/set/core</x:v>
      </x:c>
      <x:c r="J171" s="9" t="str">
        <x:v>https://es.marvelcdb.com/set/core</x:v>
      </x:c>
    </x:row>
    <x:row r="172" ht="20" customHeight="1">
      <x:c r="A172" s="9" t="str">
        <x:v>Core Set</x:v>
      </x:c>
      <x:c r="B172" s="9" t="str">
        <x:v>Caja básica</x:v>
      </x:c>
      <x:c r="C172" s="9" t="n">
        <x:v>171</x:v>
      </x:c>
      <x:c r="D172" s="9" t="str">
        <x:v>Imminent Overload</x:v>
      </x:c>
      <x:c r="E172" s="9" t="str">
        <x:v>Sobrecarga inminente</x:v>
      </x:c>
      <x:c r="F172" s="9" t="str">
        <x:v>Encounter</x:v>
      </x:c>
      <x:c r="G172" s="9" t="str">
        <x:v>Iron Man Nemesis</x:v>
      </x:c>
      <x:c r="H172" s="9" t="str">
        <x:v>Archienemigo de Iron Man</x:v>
      </x:c>
      <x:c r="I172" s="9" t="str">
        <x:v>https://marvelcdb.com/set/core</x:v>
      </x:c>
      <x:c r="J172" s="9" t="str">
        <x:v>https://es.marvelcdb.com/set/core</x:v>
      </x:c>
    </x:row>
    <x:row r="173" ht="20" customHeight="1">
      <x:c r="A173" s="9" t="str">
        <x:v>Core Set</x:v>
      </x:c>
      <x:c r="B173" s="9" t="str">
        <x:v>Caja básica</x:v>
      </x:c>
      <x:c r="C173" s="9" t="n">
        <x:v>172</x:v>
      </x:c>
      <x:c r="D173" s="9" t="str">
        <x:v>Whiplash</x:v>
      </x:c>
      <x:c r="E173" s="9" t="str">
        <x:v>Latigazo</x:v>
      </x:c>
      <x:c r="F173" s="9" t="str">
        <x:v>Encounter</x:v>
      </x:c>
      <x:c r="G173" s="9" t="str">
        <x:v>Iron Man Nemesis</x:v>
      </x:c>
      <x:c r="H173" s="9" t="str">
        <x:v>Archienemigo de Iron Man</x:v>
      </x:c>
      <x:c r="I173" s="9" t="str">
        <x:v>https://marvelcdb.com/set/core</x:v>
      </x:c>
      <x:c r="J173" s="9" t="str">
        <x:v>https://es.marvelcdb.com/set/core</x:v>
      </x:c>
    </x:row>
    <x:row r="174" ht="20" customHeight="1">
      <x:c r="A174" s="9" t="str">
        <x:v>Core Set</x:v>
      </x:c>
      <x:c r="B174" s="9" t="str">
        <x:v>Caja básica</x:v>
      </x:c>
      <x:c r="C174" s="9" t="n">
        <x:v>173</x:v>
      </x:c>
      <x:c r="D174" s="9" t="str">
        <x:v>Electric Whip Attack</x:v>
      </x:c>
      <x:c r="E174" s="9" t="str">
        <x:v>Azote de electrolátigo</x:v>
      </x:c>
      <x:c r="F174" s="9" t="str">
        <x:v>Encounter</x:v>
      </x:c>
      <x:c r="G174" s="9" t="str">
        <x:v>Iron Man Nemesis</x:v>
      </x:c>
      <x:c r="H174" s="9" t="str">
        <x:v>Archienemigo de Iron Man</x:v>
      </x:c>
      <x:c r="I174" s="9" t="str">
        <x:v>https://marvelcdb.com/set/core</x:v>
      </x:c>
      <x:c r="J174" s="9" t="str">
        <x:v>https://es.marvelcdb.com/set/core</x:v>
      </x:c>
    </x:row>
    <x:row r="175" ht="20" customHeight="1">
      <x:c r="A175" s="9" t="str">
        <x:v>Core Set</x:v>
      </x:c>
      <x:c r="B175" s="9" t="str">
        <x:v>Caja básica</x:v>
      </x:c>
      <x:c r="C175" s="9" t="n">
        <x:v>174</x:v>
      </x:c>
      <x:c r="D175" s="9" t="str">
        <x:v>Electromagnetic Backlash</x:v>
      </x:c>
      <x:c r="E175" s="9" t="str">
        <x:v>Descarga electromagnética</x:v>
      </x:c>
      <x:c r="F175" s="9" t="str">
        <x:v>Encounter</x:v>
      </x:c>
      <x:c r="G175" s="9" t="str">
        <x:v>Iron Man Nemesis</x:v>
      </x:c>
      <x:c r="H175" s="9" t="str">
        <x:v>Archienemigo de Iron Man</x:v>
      </x:c>
      <x:c r="I175" s="9" t="str">
        <x:v>https://marvelcdb.com/set/core</x:v>
      </x:c>
      <x:c r="J175" s="9" t="str">
        <x:v>https://es.marvelcdb.com/set/core</x:v>
      </x:c>
    </x:row>
    <x:row r="176" ht="20" customHeight="1">
      <x:c r="A176" s="9" t="str">
        <x:v>Core Set</x:v>
      </x:c>
      <x:c r="B176" s="9" t="str">
        <x:v>Caja básica</x:v>
      </x:c>
      <x:c r="C176" s="9" t="n">
        <x:v>175</x:v>
      </x:c>
      <x:c r="D176" s="9" t="str">
        <x:v>Family Emergency</x:v>
      </x:c>
      <x:c r="E176" s="9" t="str">
        <x:v>Emergencia familiar</x:v>
      </x:c>
      <x:c r="F176" s="9" t="str">
        <x:v>Encounter</x:v>
      </x:c>
      <x:c r="G176" s="9" t="str">
        <x:v>Captain Marvel Nemesis</x:v>
      </x:c>
      <x:c r="H176" s="9" t="str">
        <x:v>Archienemigo de Capitana Marvel</x:v>
      </x:c>
      <x:c r="I176" s="9" t="str">
        <x:v>https://marvelcdb.com/set/core</x:v>
      </x:c>
      <x:c r="J176" s="9" t="str">
        <x:v>https://es.marvelcdb.com/set/core</x:v>
      </x:c>
    </x:row>
    <x:row r="177" ht="20" customHeight="1">
      <x:c r="A177" s="9" t="str">
        <x:v>Core Set</x:v>
      </x:c>
      <x:c r="B177" s="9" t="str">
        <x:v>Caja básica</x:v>
      </x:c>
      <x:c r="C177" s="9" t="n">
        <x:v>176</x:v>
      </x:c>
      <x:c r="D177" s="9" t="str">
        <x:v>The Psyche-Magnitron</x:v>
      </x:c>
      <x:c r="E177" s="9" t="str">
        <x:v>El psicomagnetrón</x:v>
      </x:c>
      <x:c r="F177" s="9" t="str">
        <x:v>Encounter</x:v>
      </x:c>
      <x:c r="G177" s="9" t="str">
        <x:v>Captain Marvel Nemesis</x:v>
      </x:c>
      <x:c r="H177" s="9" t="str">
        <x:v>Archienemigo de Capitana Marvel</x:v>
      </x:c>
      <x:c r="I177" s="9" t="str">
        <x:v>https://marvelcdb.com/set/core</x:v>
      </x:c>
      <x:c r="J177" s="9" t="str">
        <x:v>https://es.marvelcdb.com/set/core</x:v>
      </x:c>
    </x:row>
    <x:row r="178" ht="20" customHeight="1">
      <x:c r="A178" s="9" t="str">
        <x:v>Core Set</x:v>
      </x:c>
      <x:c r="B178" s="9" t="str">
        <x:v>Caja básica</x:v>
      </x:c>
      <x:c r="C178" s="9" t="n">
        <x:v>177</x:v>
      </x:c>
      <x:c r="D178" s="9" t="str">
        <x:v>Yon-Rogg</x:v>
      </x:c>
      <x:c r="E178" s="9" t="str">
        <x:v>Yon-Rogg</x:v>
      </x:c>
      <x:c r="F178" s="9" t="str">
        <x:v>Encounter</x:v>
      </x:c>
      <x:c r="G178" s="9" t="str">
        <x:v>Captain Marvel Nemesis</x:v>
      </x:c>
      <x:c r="H178" s="9" t="str">
        <x:v>Archienemigo de Capitana Marvel</x:v>
      </x:c>
      <x:c r="I178" s="9" t="str">
        <x:v>https://marvelcdb.com/set/core</x:v>
      </x:c>
      <x:c r="J178" s="9" t="str">
        <x:v>https://es.marvelcdb.com/set/core</x:v>
      </x:c>
    </x:row>
    <x:row r="179" ht="20" customHeight="1">
      <x:c r="A179" s="9" t="str">
        <x:v>Core Set</x:v>
      </x:c>
      <x:c r="B179" s="9" t="str">
        <x:v>Caja básica</x:v>
      </x:c>
      <x:c r="C179" s="9" t="n">
        <x:v>178</x:v>
      </x:c>
      <x:c r="D179" s="9" t="str">
        <x:v>Kree Manipulator</x:v>
      </x:c>
      <x:c r="E179" s="9" t="str">
        <x:v>Manipulador kree</x:v>
      </x:c>
      <x:c r="F179" s="9" t="str">
        <x:v>Encounter</x:v>
      </x:c>
      <x:c r="G179" s="9" t="str">
        <x:v>Captain Marvel Nemesis</x:v>
      </x:c>
      <x:c r="H179" s="9" t="str">
        <x:v>Archienemigo de Capitana Marvel</x:v>
      </x:c>
      <x:c r="I179" s="9" t="str">
        <x:v>https://marvelcdb.com/set/core</x:v>
      </x:c>
      <x:c r="J179" s="9" t="str">
        <x:v>https://es.marvelcdb.com/set/core</x:v>
      </x:c>
    </x:row>
    <x:row r="180" ht="20" customHeight="1">
      <x:c r="A180" s="9" t="str">
        <x:v>Core Set</x:v>
      </x:c>
      <x:c r="B180" s="9" t="str">
        <x:v>Caja básica</x:v>
      </x:c>
      <x:c r="C180" s="9" t="n">
        <x:v>179</x:v>
      </x:c>
      <x:c r="D180" s="9" t="str">
        <x:v>Yon-Rogg's Treason</x:v>
      </x:c>
      <x:c r="E180" s="9" t="str">
        <x:v>La traición de Yon-Rogg</x:v>
      </x:c>
      <x:c r="F180" s="9" t="str">
        <x:v>Encounter</x:v>
      </x:c>
      <x:c r="G180" s="9" t="str">
        <x:v>Captain Marvel Nemesis</x:v>
      </x:c>
      <x:c r="H180" s="9" t="str">
        <x:v>Archienemigo de Capitana Marvel</x:v>
      </x:c>
      <x:c r="I180" s="9" t="str">
        <x:v>https://marvelcdb.com/set/core</x:v>
      </x:c>
      <x:c r="J180" s="9" t="str">
        <x:v>https://es.marvelcdb.com/set/core</x:v>
      </x:c>
    </x:row>
    <x:row r="181" ht="20" customHeight="1">
      <x:c r="A181" s="9" t="str">
        <x:v>Core Set</x:v>
      </x:c>
      <x:c r="B181" s="9" t="str">
        <x:v>Caja básica</x:v>
      </x:c>
      <x:c r="C181" s="9" t="n">
        <x:v>180</x:v>
      </x:c>
      <x:c r="D181" s="9" t="str">
        <x:v>Legions of Hydra</x:v>
      </x:c>
      <x:c r="E181" s="9" t="str">
        <x:v>Legiones de Hydra</x:v>
      </x:c>
      <x:c r="F181" s="9" t="str">
        <x:v>Encounter</x:v>
      </x:c>
      <x:c r="G181" s="9" t="str">
        <x:v>Legions of Hydra</x:v>
      </x:c>
      <x:c r="H181" s="9" t="str">
        <x:v>Legiones de Hydra</x:v>
      </x:c>
      <x:c r="I181" s="9" t="str">
        <x:v>https://marvelcdb.com/set/core</x:v>
      </x:c>
      <x:c r="J181" s="9" t="str">
        <x:v>https://es.marvelcdb.com/set/core</x:v>
      </x:c>
    </x:row>
    <x:row r="182" ht="20" customHeight="1">
      <x:c r="A182" s="9" t="str">
        <x:v>Core Set</x:v>
      </x:c>
      <x:c r="B182" s="9" t="str">
        <x:v>Caja básica</x:v>
      </x:c>
      <x:c r="C182" s="9" t="n">
        <x:v>181</x:v>
      </x:c>
      <x:c r="D182" s="9" t="str">
        <x:v>Madame Hydra</x:v>
      </x:c>
      <x:c r="E182" s="9" t="str">
        <x:v>Madame Hydra</x:v>
      </x:c>
      <x:c r="F182" s="9" t="str">
        <x:v>Encounter</x:v>
      </x:c>
      <x:c r="G182" s="9" t="str">
        <x:v>Legions of Hydra</x:v>
      </x:c>
      <x:c r="H182" s="9" t="str">
        <x:v>Legiones de Hydra</x:v>
      </x:c>
      <x:c r="I182" s="9" t="str">
        <x:v>https://marvelcdb.com/set/core</x:v>
      </x:c>
      <x:c r="J182" s="9" t="str">
        <x:v>https://es.marvelcdb.com/set/core</x:v>
      </x:c>
    </x:row>
    <x:row r="183" ht="20" customHeight="1">
      <x:c r="A183" s="9" t="str">
        <x:v>Core Set</x:v>
      </x:c>
      <x:c r="B183" s="9" t="str">
        <x:v>Caja básica</x:v>
      </x:c>
      <x:c r="C183" s="9" t="n">
        <x:v>182</x:v>
      </x:c>
      <x:c r="D183" s="9" t="str">
        <x:v>Hydra Soldier</x:v>
      </x:c>
      <x:c r="E183" s="9" t="str">
        <x:v>Soldado de Hydra</x:v>
      </x:c>
      <x:c r="F183" s="9" t="str">
        <x:v>Encounter</x:v>
      </x:c>
      <x:c r="G183" s="9" t="str">
        <x:v>Legions of Hydra</x:v>
      </x:c>
      <x:c r="H183" s="9" t="str">
        <x:v>Legiones de Hydra</x:v>
      </x:c>
      <x:c r="I183" s="9" t="str">
        <x:v>https://marvelcdb.com/set/core</x:v>
      </x:c>
      <x:c r="J183" s="9" t="str">
        <x:v>https://es.marvelcdb.com/set/core</x:v>
      </x:c>
    </x:row>
    <x:row r="184" ht="20" customHeight="1">
      <x:c r="A184" s="9" t="str">
        <x:v>Core Set</x:v>
      </x:c>
      <x:c r="B184" s="9" t="str">
        <x:v>Caja básica</x:v>
      </x:c>
      <x:c r="C184" s="9" t="n">
        <x:v>183</x:v>
      </x:c>
      <x:c r="D184" s="9" t="str">
        <x:v>The Doomsday Chair</x:v>
      </x:c>
      <x:c r="E184" s="9" t="str">
        <x:v>La Silla del Juicio Final</x:v>
      </x:c>
      <x:c r="F184" s="9" t="str">
        <x:v>Encounter</x:v>
      </x:c>
      <x:c r="G184" s="9" t="str">
        <x:v>The Doomsday Chair</x:v>
      </x:c>
      <x:c r="H184" s="9" t="str">
        <x:v>La silla del Juicio Final</x:v>
      </x:c>
      <x:c r="I184" s="9" t="str">
        <x:v>https://marvelcdb.com/set/core</x:v>
      </x:c>
      <x:c r="J184" s="9" t="str">
        <x:v>https://es.marvelcdb.com/set/core</x:v>
      </x:c>
    </x:row>
    <x:row r="185" ht="20" customHeight="1">
      <x:c r="A185" s="9" t="str">
        <x:v>Core Set</x:v>
      </x:c>
      <x:c r="B185" s="9" t="str">
        <x:v>Caja básica</x:v>
      </x:c>
      <x:c r="C185" s="9" t="n">
        <x:v>184</x:v>
      </x:c>
      <x:c r="D185" s="9" t="str">
        <x:v>M.O.D.O.K.</x:v>
      </x:c>
      <x:c r="E185" s="9" t="str">
        <x:v>MODOK</x:v>
      </x:c>
      <x:c r="F185" s="9" t="str">
        <x:v>Encounter</x:v>
      </x:c>
      <x:c r="G185" s="9" t="str">
        <x:v>The Doomsday Chair</x:v>
      </x:c>
      <x:c r="H185" s="9" t="str">
        <x:v>La silla del Juicio Final</x:v>
      </x:c>
      <x:c r="I185" s="9" t="str">
        <x:v>https://marvelcdb.com/set/core</x:v>
      </x:c>
      <x:c r="J185" s="9" t="str">
        <x:v>https://es.marvelcdb.com/set/core</x:v>
      </x:c>
    </x:row>
    <x:row r="186" ht="20" customHeight="1">
      <x:c r="A186" s="9" t="str">
        <x:v>Core Set</x:v>
      </x:c>
      <x:c r="B186" s="9" t="str">
        <x:v>Caja básica</x:v>
      </x:c>
      <x:c r="C186" s="9" t="n">
        <x:v>185</x:v>
      </x:c>
      <x:c r="D186" s="9" t="str">
        <x:v>Biomechanical Upgrades</x:v>
      </x:c>
      <x:c r="E186" s="9" t="str">
        <x:v>Mejoras biomecánicas</x:v>
      </x:c>
      <x:c r="F186" s="9" t="str">
        <x:v>Encounter</x:v>
      </x:c>
      <x:c r="G186" s="9" t="str">
        <x:v>The Doomsday Chair</x:v>
      </x:c>
      <x:c r="H186" s="9" t="str">
        <x:v>La silla del Juicio Final</x:v>
      </x:c>
      <x:c r="I186" s="9" t="str">
        <x:v>https://marvelcdb.com/set/core</x:v>
      </x:c>
      <x:c r="J186" s="9" t="str">
        <x:v>https://es.marvelcdb.com/set/core</x:v>
      </x:c>
    </x:row>
    <x:row r="187" ht="20" customHeight="1">
      <x:c r="A187" s="9" t="str">
        <x:v>Core Set</x:v>
      </x:c>
      <x:c r="B187" s="9" t="str">
        <x:v>Caja básica</x:v>
      </x:c>
      <x:c r="C187" s="9" t="n">
        <x:v>186</x:v>
      </x:c>
      <x:c r="D187" s="9" t="str">
        <x:v>Advance</x:v>
      </x:c>
      <x:c r="E187" s="9" t="str">
        <x:v>Mover ficha</x:v>
      </x:c>
      <x:c r="F187" s="9" t="str">
        <x:v>Encounter</x:v>
      </x:c>
      <x:c r="G187" s="9" t="str">
        <x:v>Standard</x:v>
      </x:c>
      <x:c r="H187" s="9" t="str">
        <x:v>Normal</x:v>
      </x:c>
      <x:c r="I187" s="9" t="str">
        <x:v>https://marvelcdb.com/set/core</x:v>
      </x:c>
      <x:c r="J187" s="9" t="str">
        <x:v>https://es.marvelcdb.com/set/core</x:v>
      </x:c>
    </x:row>
    <x:row r="188" ht="20" customHeight="1">
      <x:c r="A188" s="9" t="str">
        <x:v>Core Set</x:v>
      </x:c>
      <x:c r="B188" s="9" t="str">
        <x:v>Caja básica</x:v>
      </x:c>
      <x:c r="C188" s="9" t="n">
        <x:v>187</x:v>
      </x:c>
      <x:c r="D188" s="9" t="str">
        <x:v>Assault</x:v>
      </x:c>
      <x:c r="E188" s="9" t="str">
        <x:v>Agresión</x:v>
      </x:c>
      <x:c r="F188" s="9" t="str">
        <x:v>Encounter</x:v>
      </x:c>
      <x:c r="G188" s="9" t="str">
        <x:v>Standard</x:v>
      </x:c>
      <x:c r="H188" s="9" t="str">
        <x:v>Normal</x:v>
      </x:c>
      <x:c r="I188" s="9" t="str">
        <x:v>https://marvelcdb.com/set/core</x:v>
      </x:c>
      <x:c r="J188" s="9" t="str">
        <x:v>https://es.marvelcdb.com/set/core</x:v>
      </x:c>
    </x:row>
    <x:row r="189" ht="20" customHeight="1">
      <x:c r="A189" s="9" t="str">
        <x:v>Core Set</x:v>
      </x:c>
      <x:c r="B189" s="9" t="str">
        <x:v>Caja básica</x:v>
      </x:c>
      <x:c r="C189" s="9" t="n">
        <x:v>188</x:v>
      </x:c>
      <x:c r="D189" s="9" t="str">
        <x:v>Caught Off Guard</x:v>
      </x:c>
      <x:c r="E189" s="9" t="str">
        <x:v>Con la guardia baja</x:v>
      </x:c>
      <x:c r="F189" s="9" t="str">
        <x:v>Encounter</x:v>
      </x:c>
      <x:c r="G189" s="9" t="str">
        <x:v>Standard</x:v>
      </x:c>
      <x:c r="H189" s="9" t="str">
        <x:v>Normal</x:v>
      </x:c>
      <x:c r="I189" s="9" t="str">
        <x:v>https://marvelcdb.com/set/core</x:v>
      </x:c>
      <x:c r="J189" s="9" t="str">
        <x:v>https://es.marvelcdb.com/set/core</x:v>
      </x:c>
    </x:row>
    <x:row r="190" ht="20" customHeight="1">
      <x:c r="A190" s="9" t="str">
        <x:v>Core Set</x:v>
      </x:c>
      <x:c r="B190" s="9" t="str">
        <x:v>Caja básica</x:v>
      </x:c>
      <x:c r="C190" s="9" t="n">
        <x:v>189</x:v>
      </x:c>
      <x:c r="D190" s="9" t="str">
        <x:v>Gang-Up</x:v>
      </x:c>
      <x:c r="E190" s="9" t="str">
        <x:v>Todos a una</x:v>
      </x:c>
      <x:c r="F190" s="9" t="str">
        <x:v>Encounter</x:v>
      </x:c>
      <x:c r="G190" s="9" t="str">
        <x:v>Standard</x:v>
      </x:c>
      <x:c r="H190" s="9" t="str">
        <x:v>Normal</x:v>
      </x:c>
      <x:c r="I190" s="9" t="str">
        <x:v>https://marvelcdb.com/set/core</x:v>
      </x:c>
      <x:c r="J190" s="9" t="str">
        <x:v>https://es.marvelcdb.com/set/core</x:v>
      </x:c>
    </x:row>
    <x:row r="191" ht="20" customHeight="1">
      <x:c r="A191" s="9" t="str">
        <x:v>Core Set</x:v>
      </x:c>
      <x:c r="B191" s="9" t="str">
        <x:v>Caja básica</x:v>
      </x:c>
      <x:c r="C191" s="9" t="n">
        <x:v>190</x:v>
      </x:c>
      <x:c r="D191" s="9" t="str">
        <x:v>Shadow of the Past</x:v>
      </x:c>
      <x:c r="E191" s="9" t="str">
        <x:v>Una sombra del pasado</x:v>
      </x:c>
      <x:c r="F191" s="9" t="str">
        <x:v>Encounter</x:v>
      </x:c>
      <x:c r="G191" s="9" t="str">
        <x:v>Standard</x:v>
      </x:c>
      <x:c r="H191" s="9" t="str">
        <x:v>Normal</x:v>
      </x:c>
      <x:c r="I191" s="9" t="str">
        <x:v>https://marvelcdb.com/set/core</x:v>
      </x:c>
      <x:c r="J191" s="9" t="str">
        <x:v>https://es.marvelcdb.com/set/core</x:v>
      </x:c>
    </x:row>
    <x:row r="192" ht="20" customHeight="1">
      <x:c r="A192" s="9" t="str">
        <x:v>Core Set</x:v>
      </x:c>
      <x:c r="B192" s="9" t="str">
        <x:v>Caja básica</x:v>
      </x:c>
      <x:c r="C192" s="9" t="n">
        <x:v>191</x:v>
      </x:c>
      <x:c r="D192" s="9" t="str">
        <x:v>Exhaustion</x:v>
      </x:c>
      <x:c r="E192" s="9" t="str">
        <x:v>Agotamiento</x:v>
      </x:c>
      <x:c r="F192" s="9" t="str">
        <x:v>Encounter</x:v>
      </x:c>
      <x:c r="G192" s="9" t="str">
        <x:v>Expert</x:v>
      </x:c>
      <x:c r="H192" s="9" t="str">
        <x:v>Experto</x:v>
      </x:c>
      <x:c r="I192" s="9" t="str">
        <x:v>https://marvelcdb.com/set/core</x:v>
      </x:c>
      <x:c r="J192" s="9" t="str">
        <x:v>https://es.marvelcdb.com/set/core</x:v>
      </x:c>
    </x:row>
    <x:row r="193" ht="20" customHeight="1">
      <x:c r="A193" s="9" t="str">
        <x:v>Core Set</x:v>
      </x:c>
      <x:c r="B193" s="9" t="str">
        <x:v>Caja básica</x:v>
      </x:c>
      <x:c r="C193" s="9" t="n">
        <x:v>192</x:v>
      </x:c>
      <x:c r="D193" s="9" t="str">
        <x:v>Masterplan</x:v>
      </x:c>
      <x:c r="E193" s="9" t="str">
        <x:v>Plan maestro</x:v>
      </x:c>
      <x:c r="F193" s="9" t="str">
        <x:v>Encounter</x:v>
      </x:c>
      <x:c r="G193" s="9" t="str">
        <x:v>Expert</x:v>
      </x:c>
      <x:c r="H193" s="9" t="str">
        <x:v>Experto</x:v>
      </x:c>
      <x:c r="I193" s="9" t="str">
        <x:v>https://marvelcdb.com/set/core</x:v>
      </x:c>
      <x:c r="J193" s="9" t="str">
        <x:v>https://es.marvelcdb.com/set/core</x:v>
      </x:c>
    </x:row>
    <x:row r="194" ht="20" customHeight="1">
      <x:c r="A194" s="9" t="str">
        <x:v>Core Set</x:v>
      </x:c>
      <x:c r="B194" s="9" t="str">
        <x:v>Caja básica</x:v>
      </x:c>
      <x:c r="C194" s="9" t="n">
        <x:v>193</x:v>
      </x:c>
      <x:c r="D194" s="9" t="str">
        <x:v>Under Fire</x:v>
      </x:c>
      <x:c r="E194" s="9" t="str">
        <x:v>Bajo fuego intenso</x:v>
      </x:c>
      <x:c r="F194" s="9" t="str">
        <x:v>Encounter</x:v>
      </x:c>
      <x:c r="G194" s="9" t="str">
        <x:v>Expert</x:v>
      </x:c>
      <x:c r="H194" s="9" t="str">
        <x:v>Experto</x:v>
      </x:c>
      <x:c r="I194" s="9" t="str">
        <x:v>https://marvelcdb.com/set/core</x:v>
      </x:c>
      <x:c r="J194" s="9" t="str">
        <x:v>https://es.marvelcdb.com/set/core</x:v>
      </x:c>
    </x:row>
    <x:row r="195" ht="20" customHeight="1">
      <x:c r="A195" s="9" t="str">
        <x:v>The Rise of Red Skull</x:v>
      </x:c>
      <x:c r="B195" s="9" t="str">
        <x:v>La Tiranía de Cráneo Rojo</x:v>
      </x:c>
      <x:c r="C195" s="9" t="n">
        <x:v>1</x:v>
      </x:c>
      <x:c r="D195" s="9" t="str">
        <x:v>Hawkeye</x:v>
      </x:c>
      <x:c r="E195" s="9" t="str">
        <x:v>Ojo de Halcón</x:v>
      </x:c>
      <x:c r="F195" s="9" t="str">
        <x:v>Player</x:v>
      </x:c>
      <x:c r="G195" s="9" t="str">
        <x:v>Hawkeye</x:v>
      </x:c>
      <x:c r="H195" s="9" t="str">
        <x:v>Ojo de Halcón</x:v>
      </x:c>
      <x:c r="I195" s="9" t="str">
        <x:v>https://marvelcdb.com/set/trors</x:v>
      </x:c>
      <x:c r="J195" s="9" t="str">
        <x:v>https://es.marvelcdb.com/set/trors</x:v>
      </x:c>
    </x:row>
    <x:row r="196" ht="20" customHeight="1">
      <x:c r="A196" s="9" t="str">
        <x:v>The Rise of Red Skull</x:v>
      </x:c>
      <x:c r="B196" s="9" t="str">
        <x:v>La Tiranía de Cráneo Rojo</x:v>
      </x:c>
      <x:c r="C196" s="9" t="n">
        <x:v>2</x:v>
      </x:c>
      <x:c r="D196" s="9" t="str">
        <x:v>Hawkeye's Bow</x:v>
      </x:c>
      <x:c r="E196" s="9" t="str">
        <x:v>Arco de Ojo de Halcón</x:v>
      </x:c>
      <x:c r="F196" s="9" t="str">
        <x:v>Player</x:v>
      </x:c>
      <x:c r="G196" s="9" t="str">
        <x:v>Hawkeye</x:v>
      </x:c>
      <x:c r="H196" s="9" t="str">
        <x:v>Ojo de Halcón</x:v>
      </x:c>
      <x:c r="I196" s="9" t="str">
        <x:v>https://marvelcdb.com/set/trors</x:v>
      </x:c>
      <x:c r="J196" s="9" t="str">
        <x:v>https://es.marvelcdb.com/set/trors</x:v>
      </x:c>
    </x:row>
    <x:row r="197" ht="20" customHeight="1">
      <x:c r="A197" s="9" t="str">
        <x:v>The Rise of Red Skull</x:v>
      </x:c>
      <x:c r="B197" s="9" t="str">
        <x:v>La Tiranía de Cráneo Rojo</x:v>
      </x:c>
      <x:c r="C197" s="9" t="n">
        <x:v>3</x:v>
      </x:c>
      <x:c r="D197" s="9" t="str">
        <x:v>Hawkeye's Quiver</x:v>
      </x:c>
      <x:c r="E197" s="9" t="str">
        <x:v>Carcaj de Ojo de Halcón</x:v>
      </x:c>
      <x:c r="F197" s="9" t="str">
        <x:v>Player</x:v>
      </x:c>
      <x:c r="G197" s="9" t="str">
        <x:v>Hawkeye</x:v>
      </x:c>
      <x:c r="H197" s="9" t="str">
        <x:v>Ojo de Halcón</x:v>
      </x:c>
      <x:c r="I197" s="9" t="str">
        <x:v>https://marvelcdb.com/set/trors</x:v>
      </x:c>
      <x:c r="J197" s="9" t="str">
        <x:v>https://es.marvelcdb.com/set/trors</x:v>
      </x:c>
    </x:row>
    <x:row r="198" ht="20" customHeight="1">
      <x:c r="A198" s="9" t="str">
        <x:v>The Rise of Red Skull</x:v>
      </x:c>
      <x:c r="B198" s="9" t="str">
        <x:v>La Tiranía de Cráneo Rojo</x:v>
      </x:c>
      <x:c r="C198" s="9" t="n">
        <x:v>4</x:v>
      </x:c>
      <x:c r="D198" s="9" t="str">
        <x:v>Mockingbird: Bobbi Morse</x:v>
      </x:c>
      <x:c r="E198" s="9" t="str">
        <x:v>Pájaro Burlón: Bobbi Morse</x:v>
      </x:c>
      <x:c r="F198" s="9" t="str">
        <x:v>Player</x:v>
      </x:c>
      <x:c r="G198" s="9" t="str">
        <x:v>Hawkeye</x:v>
      </x:c>
      <x:c r="H198" s="9" t="str">
        <x:v>Ojo de Halcón</x:v>
      </x:c>
      <x:c r="I198" s="9" t="str">
        <x:v>https://marvelcdb.com/set/trors</x:v>
      </x:c>
      <x:c r="J198" s="9" t="str">
        <x:v>https://es.marvelcdb.com/set/trors</x:v>
      </x:c>
    </x:row>
    <x:row r="199" ht="20" customHeight="1">
      <x:c r="A199" s="9" t="str">
        <x:v>The Rise of Red Skull</x:v>
      </x:c>
      <x:c r="B199" s="9" t="str">
        <x:v>La Tiranía de Cráneo Rojo</x:v>
      </x:c>
      <x:c r="C199" s="9" t="n">
        <x:v>5</x:v>
      </x:c>
      <x:c r="D199" s="9" t="str">
        <x:v>Sonic Arrow</x:v>
      </x:c>
      <x:c r="E199" s="9" t="str">
        <x:v>Flecha sónica</x:v>
      </x:c>
      <x:c r="F199" s="9" t="str">
        <x:v>Player</x:v>
      </x:c>
      <x:c r="G199" s="9" t="str">
        <x:v>Hawkeye</x:v>
      </x:c>
      <x:c r="H199" s="9" t="str">
        <x:v>Ojo de Halcón</x:v>
      </x:c>
      <x:c r="I199" s="9" t="str">
        <x:v>https://marvelcdb.com/set/trors</x:v>
      </x:c>
      <x:c r="J199" s="9" t="str">
        <x:v>https://es.marvelcdb.com/set/trors</x:v>
      </x:c>
    </x:row>
    <x:row r="200" ht="20" customHeight="1">
      <x:c r="A200" s="9" t="str">
        <x:v>The Rise of Red Skull</x:v>
      </x:c>
      <x:c r="B200" s="9" t="str">
        <x:v>La Tiranía de Cráneo Rojo</x:v>
      </x:c>
      <x:c r="C200" s="9" t="n">
        <x:v>6</x:v>
      </x:c>
      <x:c r="D200" s="9" t="str">
        <x:v>Explosive Arrow</x:v>
      </x:c>
      <x:c r="E200" s="9" t="str">
        <x:v>Flecha explosiva</x:v>
      </x:c>
      <x:c r="F200" s="9" t="str">
        <x:v>Player</x:v>
      </x:c>
      <x:c r="G200" s="9" t="str">
        <x:v>Hawkeye</x:v>
      </x:c>
      <x:c r="H200" s="9" t="str">
        <x:v>Ojo de Halcón</x:v>
      </x:c>
      <x:c r="I200" s="9" t="str">
        <x:v>https://marvelcdb.com/set/trors</x:v>
      </x:c>
      <x:c r="J200" s="9" t="str">
        <x:v>https://es.marvelcdb.com/set/trors</x:v>
      </x:c>
    </x:row>
    <x:row r="201" ht="20" customHeight="1">
      <x:c r="A201" s="9" t="str">
        <x:v>The Rise of Red Skull</x:v>
      </x:c>
      <x:c r="B201" s="9" t="str">
        <x:v>La Tiranía de Cráneo Rojo</x:v>
      </x:c>
      <x:c r="C201" s="9" t="n">
        <x:v>7</x:v>
      </x:c>
      <x:c r="D201" s="9" t="str">
        <x:v>Electric Arrow</x:v>
      </x:c>
      <x:c r="E201" s="9" t="str">
        <x:v>Flecha eléctrica</x:v>
      </x:c>
      <x:c r="F201" s="9" t="str">
        <x:v>Player</x:v>
      </x:c>
      <x:c r="G201" s="9" t="str">
        <x:v>Hawkeye</x:v>
      </x:c>
      <x:c r="H201" s="9" t="str">
        <x:v>Ojo de Halcón</x:v>
      </x:c>
      <x:c r="I201" s="9" t="str">
        <x:v>https://marvelcdb.com/set/trors</x:v>
      </x:c>
      <x:c r="J201" s="9" t="str">
        <x:v>https://es.marvelcdb.com/set/trors</x:v>
      </x:c>
    </x:row>
    <x:row r="202" ht="20" customHeight="1">
      <x:c r="A202" s="9" t="str">
        <x:v>The Rise of Red Skull</x:v>
      </x:c>
      <x:c r="B202" s="9" t="str">
        <x:v>La Tiranía de Cráneo Rojo</x:v>
      </x:c>
      <x:c r="C202" s="9" t="n">
        <x:v>8</x:v>
      </x:c>
      <x:c r="D202" s="9" t="str">
        <x:v>Cable Arrow</x:v>
      </x:c>
      <x:c r="E202" s="9" t="str">
        <x:v>Flecha con cable</x:v>
      </x:c>
      <x:c r="F202" s="9" t="str">
        <x:v>Player</x:v>
      </x:c>
      <x:c r="G202" s="9" t="str">
        <x:v>Hawkeye</x:v>
      </x:c>
      <x:c r="H202" s="9" t="str">
        <x:v>Ojo de Halcón</x:v>
      </x:c>
      <x:c r="I202" s="9" t="str">
        <x:v>https://marvelcdb.com/set/trors</x:v>
      </x:c>
      <x:c r="J202" s="9" t="str">
        <x:v>https://es.marvelcdb.com/set/trors</x:v>
      </x:c>
    </x:row>
    <x:row r="203" ht="20" customHeight="1">
      <x:c r="A203" s="9" t="str">
        <x:v>The Rise of Red Skull</x:v>
      </x:c>
      <x:c r="B203" s="9" t="str">
        <x:v>La Tiranía de Cráneo Rojo</x:v>
      </x:c>
      <x:c r="C203" s="9" t="n">
        <x:v>9</x:v>
      </x:c>
      <x:c r="D203" s="9" t="str">
        <x:v>Vibranium Arrow</x:v>
      </x:c>
      <x:c r="E203" s="9" t="str">
        <x:v>Flecha de vibránium</x:v>
      </x:c>
      <x:c r="F203" s="9" t="str">
        <x:v>Player</x:v>
      </x:c>
      <x:c r="G203" s="9" t="str">
        <x:v>Hawkeye</x:v>
      </x:c>
      <x:c r="H203" s="9" t="str">
        <x:v>Ojo de Halcón</x:v>
      </x:c>
      <x:c r="I203" s="9" t="str">
        <x:v>https://marvelcdb.com/set/trors</x:v>
      </x:c>
      <x:c r="J203" s="9" t="str">
        <x:v>https://es.marvelcdb.com/set/trors</x:v>
      </x:c>
    </x:row>
    <x:row r="204" ht="20" customHeight="1">
      <x:c r="A204" s="9" t="str">
        <x:v>The Rise of Red Skull</x:v>
      </x:c>
      <x:c r="B204" s="9" t="str">
        <x:v>La Tiranía de Cráneo Rojo</x:v>
      </x:c>
      <x:c r="C204" s="9" t="n">
        <x:v>10</x:v>
      </x:c>
      <x:c r="D204" s="9" t="str">
        <x:v>Expert Marksman</x:v>
      </x:c>
      <x:c r="E204" s="9" t="str">
        <x:v>Tirador experto</x:v>
      </x:c>
      <x:c r="F204" s="9" t="str">
        <x:v>Player</x:v>
      </x:c>
      <x:c r="G204" s="9" t="str">
        <x:v>Hawkeye</x:v>
      </x:c>
      <x:c r="H204" s="9" t="str">
        <x:v>Ojo de Halcón</x:v>
      </x:c>
      <x:c r="I204" s="9" t="str">
        <x:v>https://marvelcdb.com/set/trors</x:v>
      </x:c>
      <x:c r="J204" s="9" t="str">
        <x:v>https://es.marvelcdb.com/set/trors</x:v>
      </x:c>
    </x:row>
    <x:row r="205" ht="20" customHeight="1">
      <x:c r="A205" s="9" t="str">
        <x:v>The Rise of Red Skull</x:v>
      </x:c>
      <x:c r="B205" s="9" t="str">
        <x:v>La Tiranía de Cráneo Rojo</x:v>
      </x:c>
      <x:c r="C205" s="9" t="n">
        <x:v>11</x:v>
      </x:c>
      <x:c r="D205" s="9" t="str">
        <x:v>Hawkeye: Kate Bishop</x:v>
      </x:c>
      <x:c r="E205" s="9" t="str">
        <x:v>Ojo de Halcón: Kate Bishop</x:v>
      </x:c>
      <x:c r="F205" s="9" t="str">
        <x:v>Player</x:v>
      </x:c>
      <x:c r="G205" s="9" t="str">
        <x:v>Leadership</x:v>
      </x:c>
      <x:c r="H205" s="9" t="str">
        <x:v>Liderazgo</x:v>
      </x:c>
      <x:c r="I205" s="9" t="str">
        <x:v>https://marvelcdb.com/set/trors</x:v>
      </x:c>
      <x:c r="J205" s="9" t="str">
        <x:v>https://es.marvelcdb.com/set/trors</x:v>
      </x:c>
    </x:row>
    <x:row r="206" ht="20" customHeight="1">
      <x:c r="A206" s="9" t="str">
        <x:v>The Rise of Red Skull</x:v>
      </x:c>
      <x:c r="B206" s="9" t="str">
        <x:v>La Tiranía de Cráneo Rojo</x:v>
      </x:c>
      <x:c r="C206" s="9" t="n">
        <x:v>12</x:v>
      </x:c>
      <x:c r="D206" s="9" t="str">
        <x:v>Black Knight: Dane Whitman</x:v>
      </x:c>
      <x:c r="E206" s="9" t="str">
        <x:v>Caballero Negro: Dane Whitman</x:v>
      </x:c>
      <x:c r="F206" s="9" t="str">
        <x:v>Player</x:v>
      </x:c>
      <x:c r="G206" s="9" t="str">
        <x:v>Leadership</x:v>
      </x:c>
      <x:c r="H206" s="9" t="str">
        <x:v>Liderazgo</x:v>
      </x:c>
      <x:c r="I206" s="9" t="str">
        <x:v>https://marvelcdb.com/set/trors</x:v>
      </x:c>
      <x:c r="J206" s="9" t="str">
        <x:v>https://es.marvelcdb.com/set/trors</x:v>
      </x:c>
    </x:row>
    <x:row r="207" ht="20" customHeight="1">
      <x:c r="A207" s="9" t="str">
        <x:v>The Rise of Red Skull</x:v>
      </x:c>
      <x:c r="B207" s="9" t="str">
        <x:v>La Tiranía de Cráneo Rojo</x:v>
      </x:c>
      <x:c r="C207" s="9" t="n">
        <x:v>13</x:v>
      </x:c>
      <x:c r="D207" s="9" t="str">
        <x:v>Goliath: Bill Foster</x:v>
      </x:c>
      <x:c r="E207" s="9" t="str">
        <x:v>Goliat: Bill Foster</x:v>
      </x:c>
      <x:c r="F207" s="9" t="str">
        <x:v>Player</x:v>
      </x:c>
      <x:c r="G207" s="9" t="str">
        <x:v>Leadership</x:v>
      </x:c>
      <x:c r="H207" s="9" t="str">
        <x:v>Liderazgo</x:v>
      </x:c>
      <x:c r="I207" s="9" t="str">
        <x:v>https://marvelcdb.com/set/trors</x:v>
      </x:c>
      <x:c r="J207" s="9" t="str">
        <x:v>https://es.marvelcdb.com/set/trors</x:v>
      </x:c>
    </x:row>
    <x:row r="208" ht="20" customHeight="1">
      <x:c r="A208" s="9" t="str">
        <x:v>The Rise of Red Skull</x:v>
      </x:c>
      <x:c r="B208" s="9" t="str">
        <x:v>La Tiranía de Cráneo Rojo</x:v>
      </x:c>
      <x:c r="C208" s="9" t="n">
        <x:v>14</x:v>
      </x:c>
      <x:c r="D208" s="9" t="str">
        <x:v>U.S. Agent: John Walker</x:v>
      </x:c>
      <x:c r="E208" s="9" t="str">
        <x:v>USAgente: John Walker</x:v>
      </x:c>
      <x:c r="F208" s="9" t="str">
        <x:v>Player</x:v>
      </x:c>
      <x:c r="G208" s="9" t="str">
        <x:v>Leadership</x:v>
      </x:c>
      <x:c r="H208" s="9" t="str">
        <x:v>Liderazgo</x:v>
      </x:c>
      <x:c r="I208" s="9" t="str">
        <x:v>https://marvelcdb.com/set/trors</x:v>
      </x:c>
      <x:c r="J208" s="9" t="str">
        <x:v>https://es.marvelcdb.com/set/trors</x:v>
      </x:c>
    </x:row>
    <x:row r="209" ht="20" customHeight="1">
      <x:c r="A209" s="9" t="str">
        <x:v>The Rise of Red Skull</x:v>
      </x:c>
      <x:c r="B209" s="9" t="str">
        <x:v>La Tiranía de Cráneo Rojo</x:v>
      </x:c>
      <x:c r="C209" s="9" t="n">
        <x:v>15</x:v>
      </x:c>
      <x:c r="D209" s="9" t="str">
        <x:v>Sky Cycle</x:v>
      </x:c>
      <x:c r="E209" s="9" t="str">
        <x:v>Aeromoto</x:v>
      </x:c>
      <x:c r="F209" s="9" t="str">
        <x:v>Player</x:v>
      </x:c>
      <x:c r="G209" s="9" t="str">
        <x:v>Leadership</x:v>
      </x:c>
      <x:c r="H209" s="9" t="str">
        <x:v>Liderazgo</x:v>
      </x:c>
      <x:c r="I209" s="9" t="str">
        <x:v>https://marvelcdb.com/set/trors</x:v>
      </x:c>
      <x:c r="J209" s="9" t="str">
        <x:v>https://es.marvelcdb.com/set/trors</x:v>
      </x:c>
    </x:row>
    <x:row r="210" ht="20" customHeight="1">
      <x:c r="A210" s="9" t="str">
        <x:v>The Rise of Red Skull</x:v>
      </x:c>
      <x:c r="B210" s="9" t="str">
        <x:v>La Tiranía de Cráneo Rojo</x:v>
      </x:c>
      <x:c r="C210" s="9" t="n">
        <x:v>16</x:v>
      </x:c>
      <x:c r="D210" s="9" t="str">
        <x:v>Team Training</x:v>
      </x:c>
      <x:c r="E210" s="9" t="str">
        <x:v>Entrenamiento en equipo</x:v>
      </x:c>
      <x:c r="F210" s="9" t="str">
        <x:v>Player</x:v>
      </x:c>
      <x:c r="G210" s="9" t="str">
        <x:v>Leadership</x:v>
      </x:c>
      <x:c r="H210" s="9" t="str">
        <x:v>Liderazgo</x:v>
      </x:c>
      <x:c r="I210" s="9" t="str">
        <x:v>https://marvelcdb.com/set/trors</x:v>
      </x:c>
      <x:c r="J210" s="9" t="str">
        <x:v>https://es.marvelcdb.com/set/trors</x:v>
      </x:c>
    </x:row>
    <x:row r="211" ht="20" customHeight="1">
      <x:c r="A211" s="9" t="str">
        <x:v>The Rise of Red Skull</x:v>
      </x:c>
      <x:c r="B211" s="9" t="str">
        <x:v>La Tiranía de Cráneo Rojo</x:v>
      </x:c>
      <x:c r="C211" s="9" t="n">
        <x:v>17</x:v>
      </x:c>
      <x:c r="D211" s="9" t="str">
        <x:v>Ready for Action</x:v>
      </x:c>
      <x:c r="E211" s="9" t="str">
        <x:v>Listo para la acción</x:v>
      </x:c>
      <x:c r="F211" s="9" t="str">
        <x:v>Player</x:v>
      </x:c>
      <x:c r="G211" s="9" t="str">
        <x:v>Leadership</x:v>
      </x:c>
      <x:c r="H211" s="9" t="str">
        <x:v>Liderazgo</x:v>
      </x:c>
      <x:c r="I211" s="9" t="str">
        <x:v>https://marvelcdb.com/set/trors</x:v>
      </x:c>
      <x:c r="J211" s="9" t="str">
        <x:v>https://es.marvelcdb.com/set/trors</x:v>
      </x:c>
    </x:row>
    <x:row r="212" ht="20" customHeight="1">
      <x:c r="A212" s="9" t="str">
        <x:v>The Rise of Red Skull</x:v>
      </x:c>
      <x:c r="B212" s="9" t="str">
        <x:v>La Tiranía de Cráneo Rojo</x:v>
      </x:c>
      <x:c r="C212" s="9" t="n">
        <x:v>18</x:v>
      </x:c>
      <x:c r="D212" s="9" t="str">
        <x:v>Lead from the Front</x:v>
      </x:c>
      <x:c r="E212" s="9" t="str">
        <x:v>Liderar en vanguardia</x:v>
      </x:c>
      <x:c r="F212" s="9" t="str">
        <x:v>Player</x:v>
      </x:c>
      <x:c r="G212" s="9" t="str">
        <x:v>Leadership</x:v>
      </x:c>
      <x:c r="H212" s="9" t="str">
        <x:v>Liderazgo</x:v>
      </x:c>
      <x:c r="I212" s="9" t="str">
        <x:v>https://marvelcdb.com/set/trors</x:v>
      </x:c>
      <x:c r="J212" s="9" t="str">
        <x:v>https://es.marvelcdb.com/set/trors</x:v>
      </x:c>
    </x:row>
    <x:row r="213" ht="20" customHeight="1">
      <x:c r="A213" s="9" t="str">
        <x:v>The Rise of Red Skull</x:v>
      </x:c>
      <x:c r="B213" s="9" t="str">
        <x:v>La Tiranía de Cráneo Rojo</x:v>
      </x:c>
      <x:c r="C213" s="9" t="n">
        <x:v>19</x:v>
      </x:c>
      <x:c r="D213" s="9" t="str">
        <x:v>The Power of Leadership</x:v>
      </x:c>
      <x:c r="E213" s="9" t="str">
        <x:v>El poder del liderazgo</x:v>
      </x:c>
      <x:c r="F213" s="9" t="str">
        <x:v>Player</x:v>
      </x:c>
      <x:c r="G213" s="9" t="str">
        <x:v>Leadership</x:v>
      </x:c>
      <x:c r="H213" s="9" t="str">
        <x:v>Liderazgo</x:v>
      </x:c>
      <x:c r="I213" s="9" t="str">
        <x:v>https://marvelcdb.com/set/trors</x:v>
      </x:c>
      <x:c r="J213" s="9" t="str">
        <x:v>https://es.marvelcdb.com/set/trors</x:v>
      </x:c>
    </x:row>
    <x:row r="214" ht="20" customHeight="1">
      <x:c r="A214" s="9" t="str">
        <x:v>The Rise of Red Skull</x:v>
      </x:c>
      <x:c r="B214" s="9" t="str">
        <x:v>La Tiranía de Cráneo Rojo</x:v>
      </x:c>
      <x:c r="C214" s="9" t="n">
        <x:v>20</x:v>
      </x:c>
      <x:c r="D214" s="9" t="str">
        <x:v>War Machine: James Rhodes</x:v>
      </x:c>
      <x:c r="E214" s="9" t="str">
        <x:v>Máquina de Guerra: James Rhodes</x:v>
      </x:c>
      <x:c r="F214" s="9" t="str">
        <x:v>Player</x:v>
      </x:c>
      <x:c r="G214" s="9" t="str">
        <x:v>Basic</x:v>
      </x:c>
      <x:c r="H214" s="9" t="str">
        <x:v>Básica</x:v>
      </x:c>
      <x:c r="I214" s="9" t="str">
        <x:v>https://marvelcdb.com/set/trors</x:v>
      </x:c>
      <x:c r="J214" s="9" t="str">
        <x:v>https://es.marvelcdb.com/set/trors</x:v>
      </x:c>
    </x:row>
    <x:row r="215" ht="20" customHeight="1">
      <x:c r="A215" s="9" t="str">
        <x:v>The Rise of Red Skull</x:v>
      </x:c>
      <x:c r="B215" s="9" t="str">
        <x:v>La Tiranía de Cráneo Rojo</x:v>
      </x:c>
      <x:c r="C215" s="9" t="n">
        <x:v>21</x:v>
      </x:c>
      <x:c r="D215" s="9" t="str">
        <x:v>Avengers Tower</x:v>
      </x:c>
      <x:c r="E215" s="9" t="str">
        <x:v>Torre de los Vengadores</x:v>
      </x:c>
      <x:c r="F215" s="9" t="str">
        <x:v>Player</x:v>
      </x:c>
      <x:c r="G215" s="9" t="str">
        <x:v>Basic</x:v>
      </x:c>
      <x:c r="H215" s="9" t="str">
        <x:v>Básica</x:v>
      </x:c>
      <x:c r="I215" s="9" t="str">
        <x:v>https://marvelcdb.com/set/trors</x:v>
      </x:c>
      <x:c r="J215" s="9" t="str">
        <x:v>https://es.marvelcdb.com/set/trors</x:v>
      </x:c>
    </x:row>
    <x:row r="216" ht="20" customHeight="1">
      <x:c r="A216" s="9" t="str">
        <x:v>The Rise of Red Skull</x:v>
      </x:c>
      <x:c r="B216" s="9" t="str">
        <x:v>La Tiranía de Cráneo Rojo</x:v>
      </x:c>
      <x:c r="C216" s="9" t="n">
        <x:v>22</x:v>
      </x:c>
      <x:c r="D216" s="9" t="str">
        <x:v>Earth's Mightiest Heroes</x:v>
      </x:c>
      <x:c r="E216" s="9" t="str">
        <x:v>Los héroes más poderosos</x:v>
      </x:c>
      <x:c r="F216" s="9" t="str">
        <x:v>Player</x:v>
      </x:c>
      <x:c r="G216" s="9" t="str">
        <x:v>Basic</x:v>
      </x:c>
      <x:c r="H216" s="9" t="str">
        <x:v>Básica</x:v>
      </x:c>
      <x:c r="I216" s="9" t="str">
        <x:v>https://marvelcdb.com/set/trors</x:v>
      </x:c>
      <x:c r="J216" s="9" t="str">
        <x:v>https://es.marvelcdb.com/set/trors</x:v>
      </x:c>
    </x:row>
    <x:row r="217" ht="20" customHeight="1">
      <x:c r="A217" s="9" t="str">
        <x:v>The Rise of Red Skull</x:v>
      </x:c>
      <x:c r="B217" s="9" t="str">
        <x:v>La Tiranía de Cráneo Rojo</x:v>
      </x:c>
      <x:c r="C217" s="9" t="n">
        <x:v>23</x:v>
      </x:c>
      <x:c r="D217" s="9" t="str">
        <x:v>Energy</x:v>
      </x:c>
      <x:c r="E217" s="9" t="str">
        <x:v>Energía</x:v>
      </x:c>
      <x:c r="F217" s="9" t="str">
        <x:v>Player</x:v>
      </x:c>
      <x:c r="G217" s="9" t="str">
        <x:v>Basic</x:v>
      </x:c>
      <x:c r="H217" s="9" t="str">
        <x:v>Básica</x:v>
      </x:c>
      <x:c r="I217" s="9" t="str">
        <x:v>https://marvelcdb.com/set/trors</x:v>
      </x:c>
      <x:c r="J217" s="9" t="str">
        <x:v>https://es.marvelcdb.com/set/trors</x:v>
      </x:c>
    </x:row>
    <x:row r="218" ht="20" customHeight="1">
      <x:c r="A218" s="9" t="str">
        <x:v>The Rise of Red Skull</x:v>
      </x:c>
      <x:c r="B218" s="9" t="str">
        <x:v>La Tiranía de Cráneo Rojo</x:v>
      </x:c>
      <x:c r="C218" s="9" t="n">
        <x:v>24</x:v>
      </x:c>
      <x:c r="D218" s="9" t="str">
        <x:v>Genius</x:v>
      </x:c>
      <x:c r="E218" s="9" t="str">
        <x:v>Genio</x:v>
      </x:c>
      <x:c r="F218" s="9" t="str">
        <x:v>Player</x:v>
      </x:c>
      <x:c r="G218" s="9" t="str">
        <x:v>Basic</x:v>
      </x:c>
      <x:c r="H218" s="9" t="str">
        <x:v>Básica</x:v>
      </x:c>
      <x:c r="I218" s="9" t="str">
        <x:v>https://marvelcdb.com/set/trors</x:v>
      </x:c>
      <x:c r="J218" s="9" t="str">
        <x:v>https://es.marvelcdb.com/set/trors</x:v>
      </x:c>
    </x:row>
    <x:row r="219" ht="20" customHeight="1">
      <x:c r="A219" s="9" t="str">
        <x:v>The Rise of Red Skull</x:v>
      </x:c>
      <x:c r="B219" s="9" t="str">
        <x:v>La Tiranía de Cráneo Rojo</x:v>
      </x:c>
      <x:c r="C219" s="9" t="n">
        <x:v>25</x:v>
      </x:c>
      <x:c r="D219" s="9" t="str">
        <x:v>Strength</x:v>
      </x:c>
      <x:c r="E219" s="9" t="str">
        <x:v>Fuerza</x:v>
      </x:c>
      <x:c r="F219" s="9" t="str">
        <x:v>Player</x:v>
      </x:c>
      <x:c r="G219" s="9" t="str">
        <x:v>Basic</x:v>
      </x:c>
      <x:c r="H219" s="9" t="str">
        <x:v>Básica</x:v>
      </x:c>
      <x:c r="I219" s="9" t="str">
        <x:v>https://marvelcdb.com/set/trors</x:v>
      </x:c>
      <x:c r="J219" s="9" t="str">
        <x:v>https://es.marvelcdb.com/set/trors</x:v>
      </x:c>
    </x:row>
    <x:row r="220" ht="20" customHeight="1">
      <x:c r="A220" s="9" t="str">
        <x:v>The Rise of Red Skull</x:v>
      </x:c>
      <x:c r="B220" s="9" t="str">
        <x:v>La Tiranía de Cráneo Rojo</x:v>
      </x:c>
      <x:c r="C220" s="9" t="n">
        <x:v>26</x:v>
      </x:c>
      <x:c r="D220" s="9" t="str">
        <x:v>Criminal Past</x:v>
      </x:c>
      <x:c r="E220" s="9" t="str">
        <x:v>Pasado criminal</x:v>
      </x:c>
      <x:c r="F220" s="9" t="str">
        <x:v>Encounter</x:v>
      </x:c>
      <x:c r="G220" s="9" t="str">
        <x:v>Hawkeye Nemesis</x:v>
      </x:c>
      <x:c r="H220" s="9" t="str">
        <x:v>Archienemigo de Ojo de Halcón</x:v>
      </x:c>
      <x:c r="I220" s="9" t="str">
        <x:v>https://marvelcdb.com/set/trors</x:v>
      </x:c>
      <x:c r="J220" s="9" t="str">
        <x:v>https://es.marvelcdb.com/set/trors</x:v>
      </x:c>
    </x:row>
    <x:row r="221" ht="20" customHeight="1">
      <x:c r="A221" s="9" t="str">
        <x:v>The Rise of Red Skull</x:v>
      </x:c>
      <x:c r="B221" s="9" t="str">
        <x:v>La Tiranía de Cráneo Rojo</x:v>
      </x:c>
      <x:c r="C221" s="9" t="n">
        <x:v>27</x:v>
      </x:c>
      <x:c r="D221" s="9" t="str">
        <x:v>Crossfire</x:v>
      </x:c>
      <x:c r="E221" s="9" t="str">
        <x:v>Fuego Cruzado</x:v>
      </x:c>
      <x:c r="F221" s="9" t="str">
        <x:v>Encounter</x:v>
      </x:c>
      <x:c r="G221" s="9" t="str">
        <x:v>Hawkeye Nemesis</x:v>
      </x:c>
      <x:c r="H221" s="9" t="str">
        <x:v>Archienemigo de Ojo de Halcón</x:v>
      </x:c>
      <x:c r="I221" s="9" t="str">
        <x:v>https://marvelcdb.com/set/trors</x:v>
      </x:c>
      <x:c r="J221" s="9" t="str">
        <x:v>https://es.marvelcdb.com/set/trors</x:v>
      </x:c>
    </x:row>
    <x:row r="222" ht="20" customHeight="1">
      <x:c r="A222" s="9" t="str">
        <x:v>The Rise of Red Skull</x:v>
      </x:c>
      <x:c r="B222" s="9" t="str">
        <x:v>La Tiranía de Cráneo Rojo</x:v>
      </x:c>
      <x:c r="C222" s="9" t="n">
        <x:v>28</x:v>
      </x:c>
      <x:c r="D222" s="9" t="str">
        <x:v>Marked for Death</x:v>
      </x:c>
      <x:c r="E222" s="9" t="str">
        <x:v>En el punto de mira</x:v>
      </x:c>
      <x:c r="F222" s="9" t="str">
        <x:v>Encounter</x:v>
      </x:c>
      <x:c r="G222" s="9" t="str">
        <x:v>Hawkeye Nemesis</x:v>
      </x:c>
      <x:c r="H222" s="9" t="str">
        <x:v>Archienemigo de Ojo de Halcón</x:v>
      </x:c>
      <x:c r="I222" s="9" t="str">
        <x:v>https://marvelcdb.com/set/trors</x:v>
      </x:c>
      <x:c r="J222" s="9" t="str">
        <x:v>https://es.marvelcdb.com/set/trors</x:v>
      </x:c>
    </x:row>
    <x:row r="223" ht="20" customHeight="1">
      <x:c r="A223" s="9" t="str">
        <x:v>The Rise of Red Skull</x:v>
      </x:c>
      <x:c r="B223" s="9" t="str">
        <x:v>La Tiranía de Cráneo Rojo</x:v>
      </x:c>
      <x:c r="C223" s="9" t="n">
        <x:v>29</x:v>
      </x:c>
      <x:c r="D223" s="9" t="str">
        <x:v>Crossfire's Rifle</x:v>
      </x:c>
      <x:c r="E223" s="9" t="str">
        <x:v>Fusil de Fuego Cruzado</x:v>
      </x:c>
      <x:c r="F223" s="9" t="str">
        <x:v>Encounter</x:v>
      </x:c>
      <x:c r="G223" s="9" t="str">
        <x:v>Hawkeye Nemesis</x:v>
      </x:c>
      <x:c r="H223" s="9" t="str">
        <x:v>Archienemigo de Ojo de Halcón</x:v>
      </x:c>
      <x:c r="I223" s="9" t="str">
        <x:v>https://marvelcdb.com/set/trors</x:v>
      </x:c>
      <x:c r="J223" s="9" t="str">
        <x:v>https://es.marvelcdb.com/set/trors</x:v>
      </x:c>
    </x:row>
    <x:row r="224" ht="20" customHeight="1">
      <x:c r="A224" s="9" t="str">
        <x:v>The Rise of Red Skull</x:v>
      </x:c>
      <x:c r="B224" s="9" t="str">
        <x:v>La Tiranía de Cráneo Rojo</x:v>
      </x:c>
      <x:c r="C224" s="9" t="n">
        <x:v>30</x:v>
      </x:c>
      <x:c r="D224" s="9" t="str">
        <x:v>Sniper Shot</x:v>
      </x:c>
      <x:c r="E224" s="9" t="str">
        <x:v>Disparo de francotirador</x:v>
      </x:c>
      <x:c r="F224" s="9" t="str">
        <x:v>Encounter</x:v>
      </x:c>
      <x:c r="G224" s="9" t="str">
        <x:v>Hawkeye Nemesis</x:v>
      </x:c>
      <x:c r="H224" s="9" t="str">
        <x:v>Archienemigo de Ojo de Halcón</x:v>
      </x:c>
      <x:c r="I224" s="9" t="str">
        <x:v>https://marvelcdb.com/set/trors</x:v>
      </x:c>
      <x:c r="J224" s="9" t="str">
        <x:v>https://es.marvelcdb.com/set/trors</x:v>
      </x:c>
    </x:row>
    <x:row r="225" ht="20" customHeight="1">
      <x:c r="A225" s="9" t="str">
        <x:v>The Rise of Red Skull</x:v>
      </x:c>
      <x:c r="B225" s="9" t="str">
        <x:v>La Tiranía de Cráneo Rojo</x:v>
      </x:c>
      <x:c r="C225" s="9" t="n">
        <x:v>31</x:v>
      </x:c>
      <x:c r="D225" s="9" t="str">
        <x:v>Spider-Woman</x:v>
      </x:c>
      <x:c r="E225" s="9" t="str">
        <x:v>Spiderwoman</x:v>
      </x:c>
      <x:c r="F225" s="9" t="str">
        <x:v>Player</x:v>
      </x:c>
      <x:c r="G225" s="9" t="str">
        <x:v>Spider-Woman</x:v>
      </x:c>
      <x:c r="H225" s="9" t="str">
        <x:v>SpiderWoman</x:v>
      </x:c>
      <x:c r="I225" s="9" t="str">
        <x:v>https://marvelcdb.com/set/trors</x:v>
      </x:c>
      <x:c r="J225" s="9" t="str">
        <x:v>https://es.marvelcdb.com/set/trors</x:v>
      </x:c>
    </x:row>
    <x:row r="226" ht="20" customHeight="1">
      <x:c r="A226" s="9" t="str">
        <x:v>The Rise of Red Skull</x:v>
      </x:c>
      <x:c r="B226" s="9" t="str">
        <x:v>La Tiranía de Cráneo Rojo</x:v>
      </x:c>
      <x:c r="C226" s="9" t="n">
        <x:v>32</x:v>
      </x:c>
      <x:c r="D226" s="9" t="str">
        <x:v>Captain Marvel: Carol Danvers</x:v>
      </x:c>
      <x:c r="E226" s="9" t="str">
        <x:v>Capitana Marvel: Carol Danvers</x:v>
      </x:c>
      <x:c r="F226" s="9" t="str">
        <x:v>Player</x:v>
      </x:c>
      <x:c r="G226" s="9" t="str">
        <x:v>Spider-Woman</x:v>
      </x:c>
      <x:c r="H226" s="9" t="str">
        <x:v>SpiderWoman</x:v>
      </x:c>
      <x:c r="I226" s="9" t="str">
        <x:v>https://marvelcdb.com/set/trors</x:v>
      </x:c>
      <x:c r="J226" s="9" t="str">
        <x:v>https://es.marvelcdb.com/set/trors</x:v>
      </x:c>
    </x:row>
    <x:row r="227" ht="20" customHeight="1">
      <x:c r="A227" s="9" t="str">
        <x:v>The Rise of Red Skull</x:v>
      </x:c>
      <x:c r="B227" s="9" t="str">
        <x:v>La Tiranía de Cráneo Rojo</x:v>
      </x:c>
      <x:c r="C227" s="9" t="n">
        <x:v>33</x:v>
      </x:c>
      <x:c r="D227" s="9" t="str">
        <x:v>Finesse</x:v>
      </x:c>
      <x:c r="E227" s="9" t="str">
        <x:v>Sutileza</x:v>
      </x:c>
      <x:c r="F227" s="9" t="str">
        <x:v>Player</x:v>
      </x:c>
      <x:c r="G227" s="9" t="str">
        <x:v>Spider-Woman</x:v>
      </x:c>
      <x:c r="H227" s="9" t="str">
        <x:v>SpiderWoman</x:v>
      </x:c>
      <x:c r="I227" s="9" t="str">
        <x:v>https://marvelcdb.com/set/trors</x:v>
      </x:c>
      <x:c r="J227" s="9" t="str">
        <x:v>https://es.marvelcdb.com/set/trors</x:v>
      </x:c>
    </x:row>
    <x:row r="228" ht="20" customHeight="1">
      <x:c r="A228" s="9" t="str">
        <x:v>The Rise of Red Skull</x:v>
      </x:c>
      <x:c r="B228" s="9" t="str">
        <x:v>La Tiranía de Cráneo Rojo</x:v>
      </x:c>
      <x:c r="C228" s="9" t="n">
        <x:v>34</x:v>
      </x:c>
      <x:c r="D228" s="9" t="str">
        <x:v>Jessica Drew's Apartment</x:v>
      </x:c>
      <x:c r="E228" s="9" t="str">
        <x:v>Apartamento de Jessica Drew</x:v>
      </x:c>
      <x:c r="F228" s="9" t="str">
        <x:v>Player</x:v>
      </x:c>
      <x:c r="G228" s="9" t="str">
        <x:v>Spider-Woman</x:v>
      </x:c>
      <x:c r="H228" s="9" t="str">
        <x:v>SpiderWoman</x:v>
      </x:c>
      <x:c r="I228" s="9" t="str">
        <x:v>https://marvelcdb.com/set/trors</x:v>
      </x:c>
      <x:c r="J228" s="9" t="str">
        <x:v>https://es.marvelcdb.com/set/trors</x:v>
      </x:c>
    </x:row>
    <x:row r="229" ht="20" customHeight="1">
      <x:c r="A229" s="9" t="str">
        <x:v>The Rise of Red Skull</x:v>
      </x:c>
      <x:c r="B229" s="9" t="str">
        <x:v>La Tiranía de Cráneo Rojo</x:v>
      </x:c>
      <x:c r="C229" s="9" t="n">
        <x:v>35</x:v>
      </x:c>
      <x:c r="D229" s="9" t="str">
        <x:v>Venom Blast</x:v>
      </x:c>
      <x:c r="E229" s="9" t="str">
        <x:v>Rayo venenoso</x:v>
      </x:c>
      <x:c r="F229" s="9" t="str">
        <x:v>Player</x:v>
      </x:c>
      <x:c r="G229" s="9" t="str">
        <x:v>Spider-Woman</x:v>
      </x:c>
      <x:c r="H229" s="9" t="str">
        <x:v>SpiderWoman</x:v>
      </x:c>
      <x:c r="I229" s="9" t="str">
        <x:v>https://marvelcdb.com/set/trors</x:v>
      </x:c>
      <x:c r="J229" s="9" t="str">
        <x:v>https://es.marvelcdb.com/set/trors</x:v>
      </x:c>
    </x:row>
    <x:row r="230" ht="20" customHeight="1">
      <x:c r="A230" s="9" t="str">
        <x:v>The Rise of Red Skull</x:v>
      </x:c>
      <x:c r="B230" s="9" t="str">
        <x:v>La Tiranía de Cráneo Rojo</x:v>
      </x:c>
      <x:c r="C230" s="9" t="n">
        <x:v>36</x:v>
      </x:c>
      <x:c r="D230" s="9" t="str">
        <x:v>Pheromones</x:v>
      </x:c>
      <x:c r="E230" s="9" t="str">
        <x:v>Feromonas</x:v>
      </x:c>
      <x:c r="F230" s="9" t="str">
        <x:v>Player</x:v>
      </x:c>
      <x:c r="G230" s="9" t="str">
        <x:v>Spider-Woman</x:v>
      </x:c>
      <x:c r="H230" s="9" t="str">
        <x:v>SpiderWoman</x:v>
      </x:c>
      <x:c r="I230" s="9" t="str">
        <x:v>https://marvelcdb.com/set/trors</x:v>
      </x:c>
      <x:c r="J230" s="9" t="str">
        <x:v>https://es.marvelcdb.com/set/trors</x:v>
      </x:c>
    </x:row>
    <x:row r="231" ht="20" customHeight="1">
      <x:c r="A231" s="9" t="str">
        <x:v>The Rise of Red Skull</x:v>
      </x:c>
      <x:c r="B231" s="9" t="str">
        <x:v>La Tiranía de Cráneo Rojo</x:v>
      </x:c>
      <x:c r="C231" s="9" t="n">
        <x:v>37</x:v>
      </x:c>
      <x:c r="D231" s="9" t="str">
        <x:v>Contaminant Immunity</x:v>
      </x:c>
      <x:c r="E231" s="9" t="str">
        <x:v>Inmunidad a toxinas</x:v>
      </x:c>
      <x:c r="F231" s="9" t="str">
        <x:v>Player</x:v>
      </x:c>
      <x:c r="G231" s="9" t="str">
        <x:v>Spider-Woman</x:v>
      </x:c>
      <x:c r="H231" s="9" t="str">
        <x:v>SpiderWoman</x:v>
      </x:c>
      <x:c r="I231" s="9" t="str">
        <x:v>https://marvelcdb.com/set/trors</x:v>
      </x:c>
      <x:c r="J231" s="9" t="str">
        <x:v>https://es.marvelcdb.com/set/trors</x:v>
      </x:c>
    </x:row>
    <x:row r="232" ht="20" customHeight="1">
      <x:c r="A232" s="9" t="str">
        <x:v>The Rise of Red Skull</x:v>
      </x:c>
      <x:c r="B232" s="9" t="str">
        <x:v>La Tiranía de Cráneo Rojo</x:v>
      </x:c>
      <x:c r="C232" s="9" t="n">
        <x:v>38</x:v>
      </x:c>
      <x:c r="D232" s="9" t="str">
        <x:v>Inconspicuous</x:v>
      </x:c>
      <x:c r="E232" s="9" t="str">
        <x:v>Pasar desapercibida</x:v>
      </x:c>
      <x:c r="F232" s="9" t="str">
        <x:v>Player</x:v>
      </x:c>
      <x:c r="G232" s="9" t="str">
        <x:v>Spider-Woman</x:v>
      </x:c>
      <x:c r="H232" s="9" t="str">
        <x:v>SpiderWoman</x:v>
      </x:c>
      <x:c r="I232" s="9" t="str">
        <x:v>https://marvelcdb.com/set/trors</x:v>
      </x:c>
      <x:c r="J232" s="9" t="str">
        <x:v>https://es.marvelcdb.com/set/trors</x:v>
      </x:c>
    </x:row>
    <x:row r="233" ht="20" customHeight="1">
      <x:c r="A233" s="9" t="str">
        <x:v>The Rise of Red Skull</x:v>
      </x:c>
      <x:c r="B233" s="9" t="str">
        <x:v>La Tiranía de Cráneo Rojo</x:v>
      </x:c>
      <x:c r="C233" s="9" t="n">
        <x:v>39</x:v>
      </x:c>
      <x:c r="D233" s="9" t="str">
        <x:v>Self-Propelled Glide</x:v>
      </x:c>
      <x:c r="E233" s="9" t="str">
        <x:v>Planeo controlado</x:v>
      </x:c>
      <x:c r="F233" s="9" t="str">
        <x:v>Player</x:v>
      </x:c>
      <x:c r="G233" s="9" t="str">
        <x:v>Spider-Woman</x:v>
      </x:c>
      <x:c r="H233" s="9" t="str">
        <x:v>SpiderWoman</x:v>
      </x:c>
      <x:c r="I233" s="9" t="str">
        <x:v>https://marvelcdb.com/set/trors</x:v>
      </x:c>
      <x:c r="J233" s="9" t="str">
        <x:v>https://es.marvelcdb.com/set/trors</x:v>
      </x:c>
    </x:row>
    <x:row r="234" ht="20" customHeight="1">
      <x:c r="A234" s="9" t="str">
        <x:v>The Rise of Red Skull</x:v>
      </x:c>
      <x:c r="B234" s="9" t="str">
        <x:v>La Tiranía de Cráneo Rojo</x:v>
      </x:c>
      <x:c r="C234" s="9" t="n">
        <x:v>40</x:v>
      </x:c>
      <x:c r="D234" s="9" t="str">
        <x:v>Spider-Girl: Anya Corazon</x:v>
      </x:c>
      <x:c r="E234" s="9" t="str">
        <x:v>Spidergirl: Anya Corazon</x:v>
      </x:c>
      <x:c r="F234" s="9" t="str">
        <x:v>Player</x:v>
      </x:c>
      <x:c r="G234" s="9" t="str">
        <x:v>Aggression</x:v>
      </x:c>
      <x:c r="H234" s="9" t="str">
        <x:v>Agresividad</x:v>
      </x:c>
      <x:c r="I234" s="9" t="str">
        <x:v>https://marvelcdb.com/set/trors</x:v>
      </x:c>
      <x:c r="J234" s="9" t="str">
        <x:v>https://es.marvelcdb.com/set/trors</x:v>
      </x:c>
    </x:row>
    <x:row r="235" ht="20" customHeight="1">
      <x:c r="A235" s="9" t="str">
        <x:v>The Rise of Red Skull</x:v>
      </x:c>
      <x:c r="B235" s="9" t="str">
        <x:v>La Tiranía de Cráneo Rojo</x:v>
      </x:c>
      <x:c r="C235" s="9" t="n">
        <x:v>41</x:v>
      </x:c>
      <x:c r="D235" s="9" t="str">
        <x:v>Combat Training</x:v>
      </x:c>
      <x:c r="E235" s="9" t="str">
        <x:v>Entrenamiento de combate</x:v>
      </x:c>
      <x:c r="F235" s="9" t="str">
        <x:v>Player</x:v>
      </x:c>
      <x:c r="G235" s="9" t="str">
        <x:v>Aggression</x:v>
      </x:c>
      <x:c r="H235" s="9" t="str">
        <x:v>Agresividad</x:v>
      </x:c>
      <x:c r="I235" s="9" t="str">
        <x:v>https://marvelcdb.com/set/trors</x:v>
      </x:c>
      <x:c r="J235" s="9" t="str">
        <x:v>https://es.marvelcdb.com/set/trors</x:v>
      </x:c>
    </x:row>
    <x:row r="236" ht="20" customHeight="1">
      <x:c r="A236" s="9" t="str">
        <x:v>The Rise of Red Skull</x:v>
      </x:c>
      <x:c r="B236" s="9" t="str">
        <x:v>La Tiranía de Cráneo Rojo</x:v>
      </x:c>
      <x:c r="C236" s="9" t="n">
        <x:v>42</x:v>
      </x:c>
      <x:c r="D236" s="9" t="str">
        <x:v>Tac Team</x:v>
      </x:c>
      <x:c r="E236" s="9" t="str">
        <x:v>Unidad táctica</x:v>
      </x:c>
      <x:c r="F236" s="9" t="str">
        <x:v>Player</x:v>
      </x:c>
      <x:c r="G236" s="9" t="str">
        <x:v>Aggression</x:v>
      </x:c>
      <x:c r="H236" s="9" t="str">
        <x:v>Agresividad</x:v>
      </x:c>
      <x:c r="I236" s="9" t="str">
        <x:v>https://marvelcdb.com/set/trors</x:v>
      </x:c>
      <x:c r="J236" s="9" t="str">
        <x:v>https://es.marvelcdb.com/set/trors</x:v>
      </x:c>
    </x:row>
    <x:row r="237" ht="20" customHeight="1">
      <x:c r="A237" s="9" t="str">
        <x:v>The Rise of Red Skull</x:v>
      </x:c>
      <x:c r="B237" s="9" t="str">
        <x:v>La Tiranía de Cráneo Rojo</x:v>
      </x:c>
      <x:c r="C237" s="9" t="n">
        <x:v>43</x:v>
      </x:c>
      <x:c r="D237" s="9" t="str">
        <x:v>Press the Advantage</x:v>
      </x:c>
      <x:c r="E237" s="9" t="str">
        <x:v>Aprovechar la ventaja</x:v>
      </x:c>
      <x:c r="F237" s="9" t="str">
        <x:v>Player</x:v>
      </x:c>
      <x:c r="G237" s="9" t="str">
        <x:v>Aggression</x:v>
      </x:c>
      <x:c r="H237" s="9" t="str">
        <x:v>Agresividad</x:v>
      </x:c>
      <x:c r="I237" s="9" t="str">
        <x:v>https://marvelcdb.com/set/trors</x:v>
      </x:c>
      <x:c r="J237" s="9" t="str">
        <x:v>https://es.marvelcdb.com/set/trors</x:v>
      </x:c>
    </x:row>
    <x:row r="238" ht="20" customHeight="1">
      <x:c r="A238" s="9" t="str">
        <x:v>The Rise of Red Skull</x:v>
      </x:c>
      <x:c r="B238" s="9" t="str">
        <x:v>La Tiranía de Cráneo Rojo</x:v>
      </x:c>
      <x:c r="C238" s="9" t="n">
        <x:v>44</x:v>
      </x:c>
      <x:c r="D238" s="9" t="str">
        <x:v>Piercing Strike</x:v>
      </x:c>
      <x:c r="E238" s="9" t="str">
        <x:v>Golpe imparable</x:v>
      </x:c>
      <x:c r="F238" s="9" t="str">
        <x:v>Player</x:v>
      </x:c>
      <x:c r="G238" s="9" t="str">
        <x:v>Aggression</x:v>
      </x:c>
      <x:c r="H238" s="9" t="str">
        <x:v>Agresividad</x:v>
      </x:c>
      <x:c r="I238" s="9" t="str">
        <x:v>https://marvelcdb.com/set/trors</x:v>
      </x:c>
      <x:c r="J238" s="9" t="str">
        <x:v>https://es.marvelcdb.com/set/trors</x:v>
      </x:c>
    </x:row>
    <x:row r="239" ht="20" customHeight="1">
      <x:c r="A239" s="9" t="str">
        <x:v>The Rise of Red Skull</x:v>
      </x:c>
      <x:c r="B239" s="9" t="str">
        <x:v>La Tiranía de Cráneo Rojo</x:v>
      </x:c>
      <x:c r="C239" s="9" t="n">
        <x:v>45</x:v>
      </x:c>
      <x:c r="D239" s="9" t="str">
        <x:v>Spider-Man: Peter Parker</x:v>
      </x:c>
      <x:c r="E239" s="9" t="str">
        <x:v>Spiderman: Peter Parker</x:v>
      </x:c>
      <x:c r="F239" s="9" t="str">
        <x:v>Player</x:v>
      </x:c>
      <x:c r="G239" s="9" t="str">
        <x:v>Justice</x:v>
      </x:c>
      <x:c r="H239" s="9" t="str">
        <x:v>Justicia</x:v>
      </x:c>
      <x:c r="I239" s="9" t="str">
        <x:v>https://marvelcdb.com/set/trors</x:v>
      </x:c>
      <x:c r="J239" s="9" t="str">
        <x:v>https://es.marvelcdb.com/set/trors</x:v>
      </x:c>
    </x:row>
    <x:row r="240" ht="20" customHeight="1">
      <x:c r="A240" s="9" t="str">
        <x:v>The Rise of Red Skull</x:v>
      </x:c>
      <x:c r="B240" s="9" t="str">
        <x:v>La Tiranía de Cráneo Rojo</x:v>
      </x:c>
      <x:c r="C240" s="9" t="n">
        <x:v>46</x:v>
      </x:c>
      <x:c r="D240" s="9" t="str">
        <x:v>Heroic Intuition</x:v>
      </x:c>
      <x:c r="E240" s="9" t="str">
        <x:v>Intuición heroica</x:v>
      </x:c>
      <x:c r="F240" s="9" t="str">
        <x:v>Player</x:v>
      </x:c>
      <x:c r="G240" s="9" t="str">
        <x:v>Justice</x:v>
      </x:c>
      <x:c r="H240" s="9" t="str">
        <x:v>Justicia</x:v>
      </x:c>
      <x:c r="I240" s="9" t="str">
        <x:v>https://marvelcdb.com/set/trors</x:v>
      </x:c>
      <x:c r="J240" s="9" t="str">
        <x:v>https://es.marvelcdb.com/set/trors</x:v>
      </x:c>
    </x:row>
    <x:row r="241" ht="20" customHeight="1">
      <x:c r="A241" s="9" t="str">
        <x:v>The Rise of Red Skull</x:v>
      </x:c>
      <x:c r="B241" s="9" t="str">
        <x:v>La Tiranía de Cráneo Rojo</x:v>
      </x:c>
      <x:c r="C241" s="9" t="n">
        <x:v>47</x:v>
      </x:c>
      <x:c r="D241" s="9" t="str">
        <x:v>Skilled Investigator</x:v>
      </x:c>
      <x:c r="E241" s="9" t="str">
        <x:v>Investigador sagaz</x:v>
      </x:c>
      <x:c r="F241" s="9" t="str">
        <x:v>Player</x:v>
      </x:c>
      <x:c r="G241" s="9" t="str">
        <x:v>Justice</x:v>
      </x:c>
      <x:c r="H241" s="9" t="str">
        <x:v>Justicia</x:v>
      </x:c>
      <x:c r="I241" s="9" t="str">
        <x:v>https://marvelcdb.com/set/trors</x:v>
      </x:c>
      <x:c r="J241" s="9" t="str">
        <x:v>https://es.marvelcdb.com/set/trors</x:v>
      </x:c>
    </x:row>
    <x:row r="242" ht="20" customHeight="1">
      <x:c r="A242" s="9" t="str">
        <x:v>The Rise of Red Skull</x:v>
      </x:c>
      <x:c r="B242" s="9" t="str">
        <x:v>La Tiranía de Cráneo Rojo</x:v>
      </x:c>
      <x:c r="C242" s="9" t="n">
        <x:v>48</x:v>
      </x:c>
      <x:c r="D242" s="9" t="str">
        <x:v>Interrogation Room</x:v>
      </x:c>
      <x:c r="E242" s="9" t="str">
        <x:v>Sala de interrogatorios</x:v>
      </x:c>
      <x:c r="F242" s="9" t="str">
        <x:v>Player</x:v>
      </x:c>
      <x:c r="G242" s="9" t="str">
        <x:v>Justice</x:v>
      </x:c>
      <x:c r="H242" s="9" t="str">
        <x:v>Justicia</x:v>
      </x:c>
      <x:c r="I242" s="9" t="str">
        <x:v>https://marvelcdb.com/set/trors</x:v>
      </x:c>
      <x:c r="J242" s="9" t="str">
        <x:v>https://es.marvelcdb.com/set/trors</x:v>
      </x:c>
    </x:row>
    <x:row r="243" ht="20" customHeight="1">
      <x:c r="A243" s="9" t="str">
        <x:v>The Rise of Red Skull</x:v>
      </x:c>
      <x:c r="B243" s="9" t="str">
        <x:v>La Tiranía de Cráneo Rojo</x:v>
      </x:c>
      <x:c r="C243" s="9" t="n">
        <x:v>49</x:v>
      </x:c>
      <x:c r="D243" s="9" t="str">
        <x:v>Clear the Area</x:v>
      </x:c>
      <x:c r="E243" s="9" t="str">
        <x:v>Despejar la zona</x:v>
      </x:c>
      <x:c r="F243" s="9" t="str">
        <x:v>Player</x:v>
      </x:c>
      <x:c r="G243" s="9" t="str">
        <x:v>Justice</x:v>
      </x:c>
      <x:c r="H243" s="9" t="str">
        <x:v>Justicia</x:v>
      </x:c>
      <x:c r="I243" s="9" t="str">
        <x:v>https://marvelcdb.com/set/trors</x:v>
      </x:c>
      <x:c r="J243" s="9" t="str">
        <x:v>https://es.marvelcdb.com/set/trors</x:v>
      </x:c>
    </x:row>
    <x:row r="244" ht="20" customHeight="1">
      <x:c r="A244" s="9" t="str">
        <x:v>The Rise of Red Skull</x:v>
      </x:c>
      <x:c r="B244" s="9" t="str">
        <x:v>La Tiranía de Cráneo Rojo</x:v>
      </x:c>
      <x:c r="C244" s="9" t="n">
        <x:v>50</x:v>
      </x:c>
      <x:c r="D244" s="9" t="str">
        <x:v>Energy</x:v>
      </x:c>
      <x:c r="E244" s="9" t="str">
        <x:v>Energía</x:v>
      </x:c>
      <x:c r="F244" s="9" t="str">
        <x:v>Player</x:v>
      </x:c>
      <x:c r="G244" s="9" t="str">
        <x:v>Basic</x:v>
      </x:c>
      <x:c r="H244" s="9" t="str">
        <x:v>Básica</x:v>
      </x:c>
      <x:c r="I244" s="9" t="str">
        <x:v>https://marvelcdb.com/set/trors</x:v>
      </x:c>
      <x:c r="J244" s="9" t="str">
        <x:v>https://es.marvelcdb.com/set/trors</x:v>
      </x:c>
    </x:row>
    <x:row r="245" ht="20" customHeight="1">
      <x:c r="A245" s="9" t="str">
        <x:v>The Rise of Red Skull</x:v>
      </x:c>
      <x:c r="B245" s="9" t="str">
        <x:v>La Tiranía de Cráneo Rojo</x:v>
      </x:c>
      <x:c r="C245" s="9" t="n">
        <x:v>51</x:v>
      </x:c>
      <x:c r="D245" s="9" t="str">
        <x:v>Genius</x:v>
      </x:c>
      <x:c r="E245" s="9" t="str">
        <x:v>Genio</x:v>
      </x:c>
      <x:c r="F245" s="9" t="str">
        <x:v>Player</x:v>
      </x:c>
      <x:c r="G245" s="9" t="str">
        <x:v>Basic</x:v>
      </x:c>
      <x:c r="H245" s="9" t="str">
        <x:v>Básica</x:v>
      </x:c>
      <x:c r="I245" s="9" t="str">
        <x:v>https://marvelcdb.com/set/trors</x:v>
      </x:c>
      <x:c r="J245" s="9" t="str">
        <x:v>https://es.marvelcdb.com/set/trors</x:v>
      </x:c>
    </x:row>
    <x:row r="246" ht="20" customHeight="1">
      <x:c r="A246" s="9" t="str">
        <x:v>The Rise of Red Skull</x:v>
      </x:c>
      <x:c r="B246" s="9" t="str">
        <x:v>La Tiranía de Cráneo Rojo</x:v>
      </x:c>
      <x:c r="C246" s="9" t="n">
        <x:v>52</x:v>
      </x:c>
      <x:c r="D246" s="9" t="str">
        <x:v>Strength</x:v>
      </x:c>
      <x:c r="E246" s="9" t="str">
        <x:v>Fuerza</x:v>
      </x:c>
      <x:c r="F246" s="9" t="str">
        <x:v>Player</x:v>
      </x:c>
      <x:c r="G246" s="9" t="str">
        <x:v>Basic</x:v>
      </x:c>
      <x:c r="H246" s="9" t="str">
        <x:v>Básica</x:v>
      </x:c>
      <x:c r="I246" s="9" t="str">
        <x:v>https://marvelcdb.com/set/trors</x:v>
      </x:c>
      <x:c r="J246" s="9" t="str">
        <x:v>https://es.marvelcdb.com/set/trors</x:v>
      </x:c>
    </x:row>
    <x:row r="247" ht="20" customHeight="1">
      <x:c r="A247" s="9" t="str">
        <x:v>The Rise of Red Skull</x:v>
      </x:c>
      <x:c r="B247" s="9" t="str">
        <x:v>La Tiranía de Cráneo Rojo</x:v>
      </x:c>
      <x:c r="C247" s="9" t="n">
        <x:v>53</x:v>
      </x:c>
      <x:c r="D247" s="9" t="str">
        <x:v>Uncertain Loyalties</x:v>
      </x:c>
      <x:c r="E247" s="9" t="str">
        <x:v>Lealtad dudosa</x:v>
      </x:c>
      <x:c r="F247" s="9" t="str">
        <x:v>Encounter</x:v>
      </x:c>
      <x:c r="G247" s="9" t="str">
        <x:v>Spider-Woman Nemesis</x:v>
      </x:c>
      <x:c r="H247" s="9" t="str">
        <x:v>Archienemigo de Spiderwoman</x:v>
      </x:c>
      <x:c r="I247" s="9" t="str">
        <x:v>https://marvelcdb.com/set/trors</x:v>
      </x:c>
      <x:c r="J247" s="9" t="str">
        <x:v>https://es.marvelcdb.com/set/trors</x:v>
      </x:c>
    </x:row>
    <x:row r="248" ht="20" customHeight="1">
      <x:c r="A248" s="9" t="str">
        <x:v>The Rise of Red Skull</x:v>
      </x:c>
      <x:c r="B248" s="9" t="str">
        <x:v>La Tiranía de Cráneo Rojo</x:v>
      </x:c>
      <x:c r="C248" s="9" t="n">
        <x:v>54</x:v>
      </x:c>
      <x:c r="D248" s="9" t="str">
        <x:v>The Viper</x:v>
      </x:c>
      <x:c r="E248" s="9" t="str">
        <x:v>Víbora</x:v>
      </x:c>
      <x:c r="F248" s="9" t="str">
        <x:v>Encounter</x:v>
      </x:c>
      <x:c r="G248" s="9" t="str">
        <x:v>Spider-Woman Nemesis</x:v>
      </x:c>
      <x:c r="H248" s="9" t="str">
        <x:v>Archienemigo de Spiderwoman</x:v>
      </x:c>
      <x:c r="I248" s="9" t="str">
        <x:v>https://marvelcdb.com/set/trors</x:v>
      </x:c>
      <x:c r="J248" s="9" t="str">
        <x:v>https://es.marvelcdb.com/set/trors</x:v>
      </x:c>
    </x:row>
    <x:row r="249" ht="20" customHeight="1">
      <x:c r="A249" s="9" t="str">
        <x:v>The Rise of Red Skull</x:v>
      </x:c>
      <x:c r="B249" s="9" t="str">
        <x:v>La Tiranía de Cráneo Rojo</x:v>
      </x:c>
      <x:c r="C249" s="9" t="n">
        <x:v>55</x:v>
      </x:c>
      <x:c r="D249" s="9" t="str">
        <x:v>The Viper's Ambition</x:v>
      </x:c>
      <x:c r="E249" s="9" t="str">
        <x:v>La ambición de Víbora</x:v>
      </x:c>
      <x:c r="F249" s="9" t="str">
        <x:v>Encounter</x:v>
      </x:c>
      <x:c r="G249" s="9" t="str">
        <x:v>Spider-Woman Nemesis</x:v>
      </x:c>
      <x:c r="H249" s="9" t="str">
        <x:v>Archienemigo de Spiderwoman</x:v>
      </x:c>
      <x:c r="I249" s="9" t="str">
        <x:v>https://marvelcdb.com/set/trors</x:v>
      </x:c>
      <x:c r="J249" s="9" t="str">
        <x:v>https://es.marvelcdb.com/set/trors</x:v>
      </x:c>
    </x:row>
    <x:row r="250" ht="20" customHeight="1">
      <x:c r="A250" s="9" t="str">
        <x:v>The Rise of Red Skull</x:v>
      </x:c>
      <x:c r="B250" s="9" t="str">
        <x:v>La Tiranía de Cráneo Rojo</x:v>
      </x:c>
      <x:c r="C250" s="9" t="n">
        <x:v>56</x:v>
      </x:c>
      <x:c r="D250" s="9" t="str">
        <x:v>Hydra Regular</x:v>
      </x:c>
      <x:c r="E250" s="9" t="str">
        <x:v>Tropa de Hydra</x:v>
      </x:c>
      <x:c r="F250" s="9" t="str">
        <x:v>Encounter</x:v>
      </x:c>
      <x:c r="G250" s="9" t="str">
        <x:v>Spider-Woman Nemesis</x:v>
      </x:c>
      <x:c r="H250" s="9" t="str">
        <x:v>Archienemigo de Spiderwoman</x:v>
      </x:c>
      <x:c r="I250" s="9" t="str">
        <x:v>https://marvelcdb.com/set/trors</x:v>
      </x:c>
      <x:c r="J250" s="9" t="str">
        <x:v>https://es.marvelcdb.com/set/trors</x:v>
      </x:c>
    </x:row>
    <x:row r="251" ht="20" customHeight="1">
      <x:c r="A251" s="9" t="str">
        <x:v>The Rise of Red Skull</x:v>
      </x:c>
      <x:c r="B251" s="9" t="str">
        <x:v>La Tiranía de Cráneo Rojo</x:v>
      </x:c>
      <x:c r="C251" s="9" t="n">
        <x:v>57</x:v>
      </x:c>
      <x:c r="D251" s="9" t="str">
        <x:v>Hail Hydra!</x:v>
      </x:c>
      <x:c r="E251" s="9" t="str">
        <x:v>¡Hail, Hydra!</x:v>
      </x:c>
      <x:c r="F251" s="9" t="str">
        <x:v>Encounter</x:v>
      </x:c>
      <x:c r="G251" s="9" t="str">
        <x:v>Spider-Woman Nemesis</x:v>
      </x:c>
      <x:c r="H251" s="9" t="str">
        <x:v>Archienemigo de Spiderwoman</x:v>
      </x:c>
      <x:c r="I251" s="9" t="str">
        <x:v>https://marvelcdb.com/set/trors</x:v>
      </x:c>
      <x:c r="J251" s="9" t="str">
        <x:v>https://es.marvelcdb.com/set/trors</x:v>
      </x:c>
    </x:row>
    <x:row r="252" ht="20" customHeight="1">
      <x:c r="A252" s="9" t="str">
        <x:v>The Rise of Red Skull</x:v>
      </x:c>
      <x:c r="B252" s="9" t="str">
        <x:v>La Tiranía de Cráneo Rojo</x:v>
      </x:c>
      <x:c r="C252" s="9" t="n">
        <x:v>58</x:v>
      </x:c>
      <x:c r="D252" s="9" t="str">
        <x:v>Crossbones (I)</x:v>
      </x:c>
      <x:c r="E252" s="9" t="str">
        <x:v>Calavera (I)</x:v>
      </x:c>
      <x:c r="F252" s="9" t="str">
        <x:v>Encounter</x:v>
      </x:c>
      <x:c r="G252" s="9" t="str">
        <x:v>Crossbones</x:v>
      </x:c>
      <x:c r="H252" s="9" t="str">
        <x:v>Calavera</x:v>
      </x:c>
      <x:c r="I252" s="9" t="str">
        <x:v>https://marvelcdb.com/set/trors</x:v>
      </x:c>
      <x:c r="J252" s="9" t="str">
        <x:v>https://es.marvelcdb.com/set/trors</x:v>
      </x:c>
    </x:row>
    <x:row r="253" ht="20" customHeight="1">
      <x:c r="A253" s="9" t="str">
        <x:v>The Rise of Red Skull</x:v>
      </x:c>
      <x:c r="B253" s="9" t="str">
        <x:v>La Tiranía de Cráneo Rojo</x:v>
      </x:c>
      <x:c r="C253" s="9" t="n">
        <x:v>59</x:v>
      </x:c>
      <x:c r="D253" s="9" t="str">
        <x:v>Crossbones (II)</x:v>
      </x:c>
      <x:c r="E253" s="9" t="str">
        <x:v>Calavera (II)</x:v>
      </x:c>
      <x:c r="F253" s="9" t="str">
        <x:v>Encounter</x:v>
      </x:c>
      <x:c r="G253" s="9" t="str">
        <x:v>Crossbones</x:v>
      </x:c>
      <x:c r="H253" s="9" t="str">
        <x:v>Calavera</x:v>
      </x:c>
      <x:c r="I253" s="9" t="str">
        <x:v>https://marvelcdb.com/set/trors</x:v>
      </x:c>
      <x:c r="J253" s="9" t="str">
        <x:v>https://es.marvelcdb.com/set/trors</x:v>
      </x:c>
    </x:row>
    <x:row r="254" ht="20" customHeight="1">
      <x:c r="A254" s="9" t="str">
        <x:v>The Rise of Red Skull</x:v>
      </x:c>
      <x:c r="B254" s="9" t="str">
        <x:v>La Tiranía de Cráneo Rojo</x:v>
      </x:c>
      <x:c r="C254" s="9" t="n">
        <x:v>60</x:v>
      </x:c>
      <x:c r="D254" s="9" t="str">
        <x:v>Crossbones (III)</x:v>
      </x:c>
      <x:c r="E254" s="9" t="str">
        <x:v>Calavera (III)</x:v>
      </x:c>
      <x:c r="F254" s="9" t="str">
        <x:v>Encounter</x:v>
      </x:c>
      <x:c r="G254" s="9" t="str">
        <x:v>Crossbones</x:v>
      </x:c>
      <x:c r="H254" s="9" t="str">
        <x:v>Calavera</x:v>
      </x:c>
      <x:c r="I254" s="9" t="str">
        <x:v>https://marvelcdb.com/set/trors</x:v>
      </x:c>
      <x:c r="J254" s="9" t="str">
        <x:v>https://es.marvelcdb.com/set/trors</x:v>
      </x:c>
    </x:row>
    <x:row r="255" ht="20" customHeight="1">
      <x:c r="A255" s="9" t="str">
        <x:v>The Rise of Red Skull</x:v>
      </x:c>
      <x:c r="B255" s="9" t="str">
        <x:v>La Tiranía de Cráneo Rojo</x:v>
      </x:c>
      <x:c r="C255" s="9" t="n">
        <x:v>61</x:v>
      </x:c>
      <x:c r="D255" s="9" t="str">
        <x:v>Attack on Mount Athena</x:v>
      </x:c>
      <x:c r="E255" s="9" t="str">
        <x:v>Ataque al monte Atenea</x:v>
      </x:c>
      <x:c r="F255" s="9" t="str">
        <x:v>Encounter</x:v>
      </x:c>
      <x:c r="G255" s="9" t="str">
        <x:v>Crossbones</x:v>
      </x:c>
      <x:c r="H255" s="9" t="str">
        <x:v>Calavera</x:v>
      </x:c>
      <x:c r="I255" s="9" t="str">
        <x:v>https://marvelcdb.com/set/trors</x:v>
      </x:c>
      <x:c r="J255" s="9" t="str">
        <x:v>https://es.marvelcdb.com/set/trors</x:v>
      </x:c>
    </x:row>
    <x:row r="256" ht="20" customHeight="1">
      <x:c r="A256" s="9" t="str">
        <x:v>The Rise of Red Skull</x:v>
      </x:c>
      <x:c r="B256" s="9" t="str">
        <x:v>La Tiranía de Cráneo Rojo</x:v>
      </x:c>
      <x:c r="C256" s="9" t="n">
        <x:v>62</x:v>
      </x:c>
      <x:c r="D256" s="9" t="str">
        <x:v>The Infinity Stone</x:v>
      </x:c>
      <x:c r="E256" s="9" t="str">
        <x:v>La piedra del infinito</x:v>
      </x:c>
      <x:c r="F256" s="9" t="str">
        <x:v>Encounter</x:v>
      </x:c>
      <x:c r="G256" s="9" t="str">
        <x:v>Crossbones</x:v>
      </x:c>
      <x:c r="H256" s="9" t="str">
        <x:v>Calavera</x:v>
      </x:c>
      <x:c r="I256" s="9" t="str">
        <x:v>https://marvelcdb.com/set/trors</x:v>
      </x:c>
      <x:c r="J256" s="9" t="str">
        <x:v>https://es.marvelcdb.com/set/trors</x:v>
      </x:c>
    </x:row>
    <x:row r="257" ht="20" customHeight="1">
      <x:c r="A257" s="9" t="str">
        <x:v>The Rise of Red Skull</x:v>
      </x:c>
      <x:c r="B257" s="9" t="str">
        <x:v>La Tiranía de Cráneo Rojo</x:v>
      </x:c>
      <x:c r="C257" s="9" t="n">
        <x:v>63</x:v>
      </x:c>
      <x:c r="D257" s="9" t="str">
        <x:v>The Getaway</x:v>
      </x:c>
      <x:c r="E257" s="9" t="str">
        <x:v>La huida</x:v>
      </x:c>
      <x:c r="F257" s="9" t="str">
        <x:v>Encounter</x:v>
      </x:c>
      <x:c r="G257" s="9" t="str">
        <x:v>Crossbones</x:v>
      </x:c>
      <x:c r="H257" s="9" t="str">
        <x:v>Calavera</x:v>
      </x:c>
      <x:c r="I257" s="9" t="str">
        <x:v>https://marvelcdb.com/set/trors</x:v>
      </x:c>
      <x:c r="J257" s="9" t="str">
        <x:v>https://es.marvelcdb.com/set/trors</x:v>
      </x:c>
    </x:row>
    <x:row r="258" ht="20" customHeight="1">
      <x:c r="A258" s="9" t="str">
        <x:v>The Rise of Red Skull</x:v>
      </x:c>
      <x:c r="B258" s="9" t="str">
        <x:v>La Tiranía de Cráneo Rojo</x:v>
      </x:c>
      <x:c r="C258" s="9" t="n">
        <x:v>64</x:v>
      </x:c>
      <x:c r="D258" s="9" t="str">
        <x:v>Crossbones' Machine Gun</x:v>
      </x:c>
      <x:c r="E258" s="9" t="str">
        <x:v>Ametralladora de Calavera</x:v>
      </x:c>
      <x:c r="F258" s="9" t="str">
        <x:v>Encounter</x:v>
      </x:c>
      <x:c r="G258" s="9" t="str">
        <x:v>Crossbones</x:v>
      </x:c>
      <x:c r="H258" s="9" t="str">
        <x:v>Calavera</x:v>
      </x:c>
      <x:c r="I258" s="9" t="str">
        <x:v>https://marvelcdb.com/set/trors</x:v>
      </x:c>
      <x:c r="J258" s="9" t="str">
        <x:v>https://es.marvelcdb.com/set/trors</x:v>
      </x:c>
    </x:row>
    <x:row r="259" ht="20" customHeight="1">
      <x:c r="A259" s="9" t="str">
        <x:v>The Rise of Red Skull</x:v>
      </x:c>
      <x:c r="B259" s="9" t="str">
        <x:v>La Tiranía de Cráneo Rojo</x:v>
      </x:c>
      <x:c r="C259" s="9" t="n">
        <x:v>65</x:v>
      </x:c>
      <x:c r="D259" s="9" t="str">
        <x:v>Crossbones' Armor</x:v>
      </x:c>
      <x:c r="E259" s="9" t="str">
        <x:v>Armadura de Calavera</x:v>
      </x:c>
      <x:c r="F259" s="9" t="str">
        <x:v>Encounter</x:v>
      </x:c>
      <x:c r="G259" s="9" t="str">
        <x:v>Crossbones</x:v>
      </x:c>
      <x:c r="H259" s="9" t="str">
        <x:v>Calavera</x:v>
      </x:c>
      <x:c r="I259" s="9" t="str">
        <x:v>https://marvelcdb.com/set/trors</x:v>
      </x:c>
      <x:c r="J259" s="9" t="str">
        <x:v>https://es.marvelcdb.com/set/trors</x:v>
      </x:c>
    </x:row>
    <x:row r="260" ht="20" customHeight="1">
      <x:c r="A260" s="9" t="str">
        <x:v>The Rise of Red Skull</x:v>
      </x:c>
      <x:c r="B260" s="9" t="str">
        <x:v>La Tiranía de Cráneo Rojo</x:v>
      </x:c>
      <x:c r="C260" s="9" t="n">
        <x:v>66</x:v>
      </x:c>
      <x:c r="D260" s="9" t="str">
        <x:v>Hydra Bomber</x:v>
      </x:c>
      <x:c r="E260" s="9" t="str">
        <x:v>Terrorista de Hydra</x:v>
      </x:c>
      <x:c r="F260" s="9" t="str">
        <x:v>Encounter</x:v>
      </x:c>
      <x:c r="G260" s="9" t="str">
        <x:v>Crossbones</x:v>
      </x:c>
      <x:c r="H260" s="9" t="str">
        <x:v>Calavera</x:v>
      </x:c>
      <x:c r="I260" s="9" t="str">
        <x:v>https://marvelcdb.com/set/trors</x:v>
      </x:c>
      <x:c r="J260" s="9" t="str">
        <x:v>https://es.marvelcdb.com/set/trors</x:v>
      </x:c>
    </x:row>
    <x:row r="261" ht="20" customHeight="1">
      <x:c r="A261" s="9" t="str">
        <x:v>The Rise of Red Skull</x:v>
      </x:c>
      <x:c r="B261" s="9" t="str">
        <x:v>La Tiranía de Cráneo Rojo</x:v>
      </x:c>
      <x:c r="C261" s="9" t="n">
        <x:v>67</x:v>
      </x:c>
      <x:c r="D261" s="9" t="str">
        <x:v>Full Auto</x:v>
      </x:c>
      <x:c r="E261" s="9" t="str">
        <x:v>Fuego automático</x:v>
      </x:c>
      <x:c r="F261" s="9" t="str">
        <x:v>Encounter</x:v>
      </x:c>
      <x:c r="G261" s="9" t="str">
        <x:v>Crossbones</x:v>
      </x:c>
      <x:c r="H261" s="9" t="str">
        <x:v>Calavera</x:v>
      </x:c>
      <x:c r="I261" s="9" t="str">
        <x:v>https://marvelcdb.com/set/trors</x:v>
      </x:c>
      <x:c r="J261" s="9" t="str">
        <x:v>https://es.marvelcdb.com/set/trors</x:v>
      </x:c>
    </x:row>
    <x:row r="262" ht="20" customHeight="1">
      <x:c r="A262" s="9" t="str">
        <x:v>The Rise of Red Skull</x:v>
      </x:c>
      <x:c r="B262" s="9" t="str">
        <x:v>La Tiranía de Cráneo Rojo</x:v>
      </x:c>
      <x:c r="C262" s="9" t="n">
        <x:v>68</x:v>
      </x:c>
      <x:c r="D262" s="9" t="str">
        <x:v>Hard as Nails</x:v>
      </x:c>
      <x:c r="E262" s="9" t="str">
        <x:v>Duro de pelar</x:v>
      </x:c>
      <x:c r="F262" s="9" t="str">
        <x:v>Encounter</x:v>
      </x:c>
      <x:c r="G262" s="9" t="str">
        <x:v>Crossbones</x:v>
      </x:c>
      <x:c r="H262" s="9" t="str">
        <x:v>Calavera</x:v>
      </x:c>
      <x:c r="I262" s="9" t="str">
        <x:v>https://marvelcdb.com/set/trors</x:v>
      </x:c>
      <x:c r="J262" s="9" t="str">
        <x:v>https://es.marvelcdb.com/set/trors</x:v>
      </x:c>
    </x:row>
    <x:row r="263" ht="20" customHeight="1">
      <x:c r="A263" s="9" t="str">
        <x:v>The Rise of Red Skull</x:v>
      </x:c>
      <x:c r="B263" s="9" t="str">
        <x:v>La Tiranía de Cráneo Rojo</x:v>
      </x:c>
      <x:c r="C263" s="9" t="n">
        <x:v>69</x:v>
      </x:c>
      <x:c r="D263" s="9" t="str">
        <x:v>Raid the Armory</x:v>
      </x:c>
      <x:c r="E263" s="9" t="str">
        <x:v>Saquear el arsenal</x:v>
      </x:c>
      <x:c r="F263" s="9" t="str">
        <x:v>Encounter</x:v>
      </x:c>
      <x:c r="G263" s="9" t="str">
        <x:v>Crossbones</x:v>
      </x:c>
      <x:c r="H263" s="9" t="str">
        <x:v>Calavera</x:v>
      </x:c>
      <x:c r="I263" s="9" t="str">
        <x:v>https://marvelcdb.com/set/trors</x:v>
      </x:c>
      <x:c r="J263" s="9" t="str">
        <x:v>https://es.marvelcdb.com/set/trors</x:v>
      </x:c>
    </x:row>
    <x:row r="264" ht="20" customHeight="1">
      <x:c r="A264" s="9" t="str">
        <x:v>The Rise of Red Skull</x:v>
      </x:c>
      <x:c r="B264" s="9" t="str">
        <x:v>La Tiranía de Cráneo Rojo</x:v>
      </x:c>
      <x:c r="C264" s="9" t="n">
        <x:v>70</x:v>
      </x:c>
      <x:c r="D264" s="9" t="str">
        <x:v>Crossbones' Assault</x:v>
      </x:c>
      <x:c r="E264" s="9" t="str">
        <x:v>El ataque de Calavera</x:v>
      </x:c>
      <x:c r="F264" s="9" t="str">
        <x:v>Encounter</x:v>
      </x:c>
      <x:c r="G264" s="9" t="str">
        <x:v>Crossbones</x:v>
      </x:c>
      <x:c r="H264" s="9" t="str">
        <x:v>Calavera</x:v>
      </x:c>
      <x:c r="I264" s="9" t="str">
        <x:v>https://marvelcdb.com/set/trors</x:v>
      </x:c>
      <x:c r="J264" s="9" t="str">
        <x:v>https://es.marvelcdb.com/set/trors</x:v>
      </x:c>
    </x:row>
    <x:row r="265" ht="20" customHeight="1">
      <x:c r="A265" s="9" t="str">
        <x:v>The Rise of Red Skull</x:v>
      </x:c>
      <x:c r="B265" s="9" t="str">
        <x:v>La Tiranía de Cráneo Rojo</x:v>
      </x:c>
      <x:c r="C265" s="9" t="n">
        <x:v>71</x:v>
      </x:c>
      <x:c r="D265" s="9" t="str">
        <x:v>Cornered Staff</x:v>
      </x:c>
      <x:c r="E265" s="9" t="str">
        <x:v>Personal acorralado</x:v>
      </x:c>
      <x:c r="F265" s="9" t="str">
        <x:v>Encounter</x:v>
      </x:c>
      <x:c r="G265" s="9" t="str">
        <x:v>Crossbones</x:v>
      </x:c>
      <x:c r="H265" s="9" t="str">
        <x:v>Calavera</x:v>
      </x:c>
      <x:c r="I265" s="9" t="str">
        <x:v>https://marvelcdb.com/set/trors</x:v>
      </x:c>
      <x:c r="J265" s="9" t="str">
        <x:v>https://es.marvelcdb.com/set/trors</x:v>
      </x:c>
    </x:row>
    <x:row r="266" ht="20" customHeight="1">
      <x:c r="A266" s="9" t="str">
        <x:v>The Rise of Red Skull</x:v>
      </x:c>
      <x:c r="B266" s="9" t="str">
        <x:v>La Tiranía de Cráneo Rojo</x:v>
      </x:c>
      <x:c r="C266" s="9" t="n">
        <x:v>72</x:v>
      </x:c>
      <x:c r="D266" s="9" t="str">
        <x:v>Laser Rifle</x:v>
      </x:c>
      <x:c r="E266" s="9" t="str">
        <x:v>Fusil láser</x:v>
      </x:c>
      <x:c r="F266" s="9" t="str">
        <x:v>Encounter</x:v>
      </x:c>
      <x:c r="G266" s="9" t="str">
        <x:v>Experimental Weapons</x:v>
      </x:c>
      <x:c r="H266" s="9" t="str">
        <x:v>Armas Experimentales</x:v>
      </x:c>
      <x:c r="I266" s="9" t="str">
        <x:v>https://marvelcdb.com/set/trors</x:v>
      </x:c>
      <x:c r="J266" s="9" t="str">
        <x:v>https://es.marvelcdb.com/set/trors</x:v>
      </x:c>
    </x:row>
    <x:row r="267" ht="20" customHeight="1">
      <x:c r="A267" s="9" t="str">
        <x:v>The Rise of Red Skull</x:v>
      </x:c>
      <x:c r="B267" s="9" t="str">
        <x:v>La Tiranía de Cráneo Rojo</x:v>
      </x:c>
      <x:c r="C267" s="9" t="n">
        <x:v>73</x:v>
      </x:c>
      <x:c r="D267" s="9" t="str">
        <x:v>Energy Shield</x:v>
      </x:c>
      <x:c r="E267" s="9" t="str">
        <x:v>Escudo de energía</x:v>
      </x:c>
      <x:c r="F267" s="9" t="str">
        <x:v>Encounter</x:v>
      </x:c>
      <x:c r="G267" s="9" t="str">
        <x:v>Experimental Weapons</x:v>
      </x:c>
      <x:c r="H267" s="9" t="str">
        <x:v>Armas Experimentales</x:v>
      </x:c>
      <x:c r="I267" s="9" t="str">
        <x:v>https://marvelcdb.com/set/trors</x:v>
      </x:c>
      <x:c r="J267" s="9" t="str">
        <x:v>https://es.marvelcdb.com/set/trors</x:v>
      </x:c>
    </x:row>
    <x:row r="268" ht="20" customHeight="1">
      <x:c r="A268" s="9" t="str">
        <x:v>The Rise of Red Skull</x:v>
      </x:c>
      <x:c r="B268" s="9" t="str">
        <x:v>La Tiranía de Cráneo Rojo</x:v>
      </x:c>
      <x:c r="C268" s="9" t="n">
        <x:v>74</x:v>
      </x:c>
      <x:c r="D268" s="9" t="str">
        <x:v>Power Gauntlets</x:v>
      </x:c>
      <x:c r="E268" s="9" t="str">
        <x:v>Servopuños</x:v>
      </x:c>
      <x:c r="F268" s="9" t="str">
        <x:v>Encounter</x:v>
      </x:c>
      <x:c r="G268" s="9" t="str">
        <x:v>Experimental Weapons</x:v>
      </x:c>
      <x:c r="H268" s="9" t="str">
        <x:v>Armas Experimentales</x:v>
      </x:c>
      <x:c r="I268" s="9" t="str">
        <x:v>https://marvelcdb.com/set/trors</x:v>
      </x:c>
      <x:c r="J268" s="9" t="str">
        <x:v>https://es.marvelcdb.com/set/trors</x:v>
      </x:c>
    </x:row>
    <x:row r="269" ht="20" customHeight="1">
      <x:c r="A269" s="9" t="str">
        <x:v>The Rise of Red Skull</x:v>
      </x:c>
      <x:c r="B269" s="9" t="str">
        <x:v>La Tiranía de Cráneo Rojo</x:v>
      </x:c>
      <x:c r="C269" s="9" t="n">
        <x:v>75</x:v>
      </x:c>
      <x:c r="D269" s="9" t="str">
        <x:v>Exo-Suit</x:v>
      </x:c>
      <x:c r="E269" s="9" t="str">
        <x:v>Exoarmadura</x:v>
      </x:c>
      <x:c r="F269" s="9" t="str">
        <x:v>Encounter</x:v>
      </x:c>
      <x:c r="G269" s="9" t="str">
        <x:v>Experimental Weapons</x:v>
      </x:c>
      <x:c r="H269" s="9" t="str">
        <x:v>Armas Experimentales</x:v>
      </x:c>
      <x:c r="I269" s="9" t="str">
        <x:v>https://marvelcdb.com/set/trors</x:v>
      </x:c>
      <x:c r="J269" s="9" t="str">
        <x:v>https://es.marvelcdb.com/set/trors</x:v>
      </x:c>
    </x:row>
    <x:row r="270" ht="20" customHeight="1">
      <x:c r="A270" s="9" t="str">
        <x:v>The Rise of Red Skull</x:v>
      </x:c>
      <x:c r="B270" s="9" t="str">
        <x:v>La Tiranía de Cráneo Rojo</x:v>
      </x:c>
      <x:c r="C270" s="9" t="n">
        <x:v>76</x:v>
      </x:c>
      <x:c r="D270" s="9" t="str">
        <x:v>Absorbing Man (I)</x:v>
      </x:c>
      <x:c r="E270" s="9" t="str">
        <x:v>Hombre Absorbente (I)</x:v>
      </x:c>
      <x:c r="F270" s="9" t="str">
        <x:v>Encounter</x:v>
      </x:c>
      <x:c r="G270" s="9" t="str">
        <x:v>Absorbing Man</x:v>
      </x:c>
      <x:c r="H270" s="9" t="str">
        <x:v>Hombre absorbente</x:v>
      </x:c>
      <x:c r="I270" s="9" t="str">
        <x:v>https://marvelcdb.com/set/trors</x:v>
      </x:c>
      <x:c r="J270" s="9" t="str">
        <x:v>https://es.marvelcdb.com/set/trors</x:v>
      </x:c>
    </x:row>
    <x:row r="271" ht="20" customHeight="1">
      <x:c r="A271" s="9" t="str">
        <x:v>The Rise of Red Skull</x:v>
      </x:c>
      <x:c r="B271" s="9" t="str">
        <x:v>La Tiranía de Cráneo Rojo</x:v>
      </x:c>
      <x:c r="C271" s="9" t="n">
        <x:v>77</x:v>
      </x:c>
      <x:c r="D271" s="9" t="str">
        <x:v>Absorbing Man (II)</x:v>
      </x:c>
      <x:c r="E271" s="9" t="str">
        <x:v>Hombre Absorbente (II)</x:v>
      </x:c>
      <x:c r="F271" s="9" t="str">
        <x:v>Encounter</x:v>
      </x:c>
      <x:c r="G271" s="9" t="str">
        <x:v>Absorbing Man</x:v>
      </x:c>
      <x:c r="H271" s="9" t="str">
        <x:v>Hombre absorbente</x:v>
      </x:c>
      <x:c r="I271" s="9" t="str">
        <x:v>https://marvelcdb.com/set/trors</x:v>
      </x:c>
      <x:c r="J271" s="9" t="str">
        <x:v>https://es.marvelcdb.com/set/trors</x:v>
      </x:c>
    </x:row>
    <x:row r="272" ht="20" customHeight="1">
      <x:c r="A272" s="9" t="str">
        <x:v>The Rise of Red Skull</x:v>
      </x:c>
      <x:c r="B272" s="9" t="str">
        <x:v>La Tiranía de Cráneo Rojo</x:v>
      </x:c>
      <x:c r="C272" s="9" t="n">
        <x:v>78</x:v>
      </x:c>
      <x:c r="D272" s="9" t="str">
        <x:v>Absorbing Man (III)</x:v>
      </x:c>
      <x:c r="E272" s="9" t="str">
        <x:v>Hombre Absorbente (III)</x:v>
      </x:c>
      <x:c r="F272" s="9" t="str">
        <x:v>Encounter</x:v>
      </x:c>
      <x:c r="G272" s="9" t="str">
        <x:v>Absorbing Man</x:v>
      </x:c>
      <x:c r="H272" s="9" t="str">
        <x:v>Hombre absorbente</x:v>
      </x:c>
      <x:c r="I272" s="9" t="str">
        <x:v>https://marvelcdb.com/set/trors</x:v>
      </x:c>
      <x:c r="J272" s="9" t="str">
        <x:v>https://es.marvelcdb.com/set/trors</x:v>
      </x:c>
    </x:row>
    <x:row r="273" ht="20" customHeight="1">
      <x:c r="A273" s="9" t="str">
        <x:v>The Rise of Red Skull</x:v>
      </x:c>
      <x:c r="B273" s="9" t="str">
        <x:v>La Tiranía de Cráneo Rojo</x:v>
      </x:c>
      <x:c r="C273" s="9" t="n">
        <x:v>79</x:v>
      </x:c>
      <x:c r="D273" s="9" t="str">
        <x:v>None Shall Pass</x:v>
      </x:c>
      <x:c r="E273" s="9" t="str">
        <x:v>Por aquí no pasa nadie</x:v>
      </x:c>
      <x:c r="F273" s="9" t="str">
        <x:v>Encounter</x:v>
      </x:c>
      <x:c r="G273" s="9" t="str">
        <x:v>Absorbing Man</x:v>
      </x:c>
      <x:c r="H273" s="9" t="str">
        <x:v>Hombre absorbente</x:v>
      </x:c>
      <x:c r="I273" s="9" t="str">
        <x:v>https://marvelcdb.com/set/trors</x:v>
      </x:c>
      <x:c r="J273" s="9" t="str">
        <x:v>https://es.marvelcdb.com/set/trors</x:v>
      </x:c>
    </x:row>
    <x:row r="274" ht="20" customHeight="1">
      <x:c r="A274" s="9" t="str">
        <x:v>The Rise of Red Skull</x:v>
      </x:c>
      <x:c r="B274" s="9" t="str">
        <x:v>La Tiranía de Cráneo Rojo</x:v>
      </x:c>
      <x:c r="C274" s="9" t="n">
        <x:v>80</x:v>
      </x:c>
      <x:c r="D274" s="9" t="str">
        <x:v>Dense Forest</x:v>
      </x:c>
      <x:c r="E274" s="9" t="str">
        <x:v>Bosque frondoso</x:v>
      </x:c>
      <x:c r="F274" s="9" t="str">
        <x:v>Encounter</x:v>
      </x:c>
      <x:c r="G274" s="9" t="str">
        <x:v>Absorbing Man</x:v>
      </x:c>
      <x:c r="H274" s="9" t="str">
        <x:v>Hombre absorbente</x:v>
      </x:c>
      <x:c r="I274" s="9" t="str">
        <x:v>https://marvelcdb.com/set/trors</x:v>
      </x:c>
      <x:c r="J274" s="9" t="str">
        <x:v>https://es.marvelcdb.com/set/trors</x:v>
      </x:c>
    </x:row>
    <x:row r="275" ht="20" customHeight="1">
      <x:c r="A275" s="9" t="str">
        <x:v>The Rise of Red Skull</x:v>
      </x:c>
      <x:c r="B275" s="9" t="str">
        <x:v>La Tiranía de Cráneo Rojo</x:v>
      </x:c>
      <x:c r="C275" s="9" t="n">
        <x:v>81</x:v>
      </x:c>
      <x:c r="D275" s="9" t="str">
        <x:v>Snowy Hillside</x:v>
      </x:c>
      <x:c r="E275" s="9" t="str">
        <x:v>Colina nevada</x:v>
      </x:c>
      <x:c r="F275" s="9" t="str">
        <x:v>Encounter</x:v>
      </x:c>
      <x:c r="G275" s="9" t="str">
        <x:v>Absorbing Man</x:v>
      </x:c>
      <x:c r="H275" s="9" t="str">
        <x:v>Hombre absorbente</x:v>
      </x:c>
      <x:c r="I275" s="9" t="str">
        <x:v>https://marvelcdb.com/set/trors</x:v>
      </x:c>
      <x:c r="J275" s="9" t="str">
        <x:v>https://es.marvelcdb.com/set/trors</x:v>
      </x:c>
    </x:row>
    <x:row r="276" ht="20" customHeight="1">
      <x:c r="A276" s="9" t="str">
        <x:v>The Rise of Red Skull</x:v>
      </x:c>
      <x:c r="B276" s="9" t="str">
        <x:v>La Tiranía de Cráneo Rojo</x:v>
      </x:c>
      <x:c r="C276" s="9" t="n">
        <x:v>82</x:v>
      </x:c>
      <x:c r="D276" s="9" t="str">
        <x:v>Rocky Outcrop</x:v>
      </x:c>
      <x:c r="E276" s="9" t="str">
        <x:v>Promontorio rocoso</x:v>
      </x:c>
      <x:c r="F276" s="9" t="str">
        <x:v>Encounter</x:v>
      </x:c>
      <x:c r="G276" s="9" t="str">
        <x:v>Absorbing Man</x:v>
      </x:c>
      <x:c r="H276" s="9" t="str">
        <x:v>Hombre absorbente</x:v>
      </x:c>
      <x:c r="I276" s="9" t="str">
        <x:v>https://marvelcdb.com/set/trors</x:v>
      </x:c>
      <x:c r="J276" s="9" t="str">
        <x:v>https://es.marvelcdb.com/set/trors</x:v>
      </x:c>
    </x:row>
    <x:row r="277" ht="20" customHeight="1">
      <x:c r="A277" s="9" t="str">
        <x:v>The Rise of Red Skull</x:v>
      </x:c>
      <x:c r="B277" s="9" t="str">
        <x:v>La Tiranía de Cráneo Rojo</x:v>
      </x:c>
      <x:c r="C277" s="9" t="n">
        <x:v>83</x:v>
      </x:c>
      <x:c r="D277" s="9" t="str">
        <x:v>Abandoned Facility</x:v>
      </x:c>
      <x:c r="E277" s="9" t="str">
        <x:v>Complejo abandonado</x:v>
      </x:c>
      <x:c r="F277" s="9" t="str">
        <x:v>Encounter</x:v>
      </x:c>
      <x:c r="G277" s="9" t="str">
        <x:v>Absorbing Man</x:v>
      </x:c>
      <x:c r="H277" s="9" t="str">
        <x:v>Hombre absorbente</x:v>
      </x:c>
      <x:c r="I277" s="9" t="str">
        <x:v>https://marvelcdb.com/set/trors</x:v>
      </x:c>
      <x:c r="J277" s="9" t="str">
        <x:v>https://es.marvelcdb.com/set/trors</x:v>
      </x:c>
    </x:row>
    <x:row r="278" ht="20" customHeight="1">
      <x:c r="A278" s="9" t="str">
        <x:v>The Rise of Red Skull</x:v>
      </x:c>
      <x:c r="B278" s="9" t="str">
        <x:v>La Tiranía de Cráneo Rojo</x:v>
      </x:c>
      <x:c r="C278" s="9" t="n">
        <x:v>84</x:v>
      </x:c>
      <x:c r="D278" s="9" t="str">
        <x:v>Ball and Chain</x:v>
      </x:c>
      <x:c r="E278" s="9" t="str">
        <x:v>Bola y cadena</x:v>
      </x:c>
      <x:c r="F278" s="9" t="str">
        <x:v>Encounter</x:v>
      </x:c>
      <x:c r="G278" s="9" t="str">
        <x:v>Absorbing Man</x:v>
      </x:c>
      <x:c r="H278" s="9" t="str">
        <x:v>Hombre absorbente</x:v>
      </x:c>
      <x:c r="I278" s="9" t="str">
        <x:v>https://marvelcdb.com/set/trors</x:v>
      </x:c>
      <x:c r="J278" s="9" t="str">
        <x:v>https://es.marvelcdb.com/set/trors</x:v>
      </x:c>
    </x:row>
    <x:row r="279" ht="20" customHeight="1">
      <x:c r="A279" s="9" t="str">
        <x:v>The Rise of Red Skull</x:v>
      </x:c>
      <x:c r="B279" s="9" t="str">
        <x:v>La Tiranía de Cráneo Rojo</x:v>
      </x:c>
      <x:c r="C279" s="9" t="n">
        <x:v>85</x:v>
      </x:c>
      <x:c r="D279" s="9" t="str">
        <x:v>Stall Tactics</x:v>
      </x:c>
      <x:c r="E279" s="9" t="str">
        <x:v>Tácticas dilatorias</x:v>
      </x:c>
      <x:c r="F279" s="9" t="str">
        <x:v>Encounter</x:v>
      </x:c>
      <x:c r="G279" s="9" t="str">
        <x:v>Absorbing Man</x:v>
      </x:c>
      <x:c r="H279" s="9" t="str">
        <x:v>Hombre absorbente</x:v>
      </x:c>
      <x:c r="I279" s="9" t="str">
        <x:v>https://marvelcdb.com/set/trors</x:v>
      </x:c>
      <x:c r="J279" s="9" t="str">
        <x:v>https://es.marvelcdb.com/set/trors</x:v>
      </x:c>
    </x:row>
    <x:row r="280" ht="20" customHeight="1">
      <x:c r="A280" s="9" t="str">
        <x:v>The Rise of Red Skull</x:v>
      </x:c>
      <x:c r="B280" s="9" t="str">
        <x:v>La Tiranía de Cráneo Rojo</x:v>
      </x:c>
      <x:c r="C280" s="9" t="n">
        <x:v>86</x:v>
      </x:c>
      <x:c r="D280" s="9" t="str">
        <x:v>Swinging Stone</x:v>
      </x:c>
      <x:c r="E280" s="9" t="str">
        <x:v>Barrido pétreo</x:v>
      </x:c>
      <x:c r="F280" s="9" t="str">
        <x:v>Encounter</x:v>
      </x:c>
      <x:c r="G280" s="9" t="str">
        <x:v>Absorbing Man</x:v>
      </x:c>
      <x:c r="H280" s="9" t="str">
        <x:v>Hombre absorbente</x:v>
      </x:c>
      <x:c r="I280" s="9" t="str">
        <x:v>https://marvelcdb.com/set/trors</x:v>
      </x:c>
      <x:c r="J280" s="9" t="str">
        <x:v>https://es.marvelcdb.com/set/trors</x:v>
      </x:c>
    </x:row>
    <x:row r="281" ht="20" customHeight="1">
      <x:c r="A281" s="9" t="str">
        <x:v>The Rise of Red Skull</x:v>
      </x:c>
      <x:c r="B281" s="9" t="str">
        <x:v>La Tiranía de Cráneo Rojo</x:v>
      </x:c>
      <x:c r="C281" s="9" t="n">
        <x:v>87</x:v>
      </x:c>
      <x:c r="D281" s="9" t="str">
        <x:v>Steel Kick</x:v>
      </x:c>
      <x:c r="E281" s="9" t="str">
        <x:v>Patada de acero</x:v>
      </x:c>
      <x:c r="F281" s="9" t="str">
        <x:v>Encounter</x:v>
      </x:c>
      <x:c r="G281" s="9" t="str">
        <x:v>Absorbing Man</x:v>
      </x:c>
      <x:c r="H281" s="9" t="str">
        <x:v>Hombre absorbente</x:v>
      </x:c>
      <x:c r="I281" s="9" t="str">
        <x:v>https://marvelcdb.com/set/trors</x:v>
      </x:c>
      <x:c r="J281" s="9" t="str">
        <x:v>https://es.marvelcdb.com/set/trors</x:v>
      </x:c>
    </x:row>
    <x:row r="282" ht="20" customHeight="1">
      <x:c r="A282" s="9" t="str">
        <x:v>The Rise of Red Skull</x:v>
      </x:c>
      <x:c r="B282" s="9" t="str">
        <x:v>La Tiranía de Cráneo Rojo</x:v>
      </x:c>
      <x:c r="C282" s="9" t="n">
        <x:v>88</x:v>
      </x:c>
      <x:c r="D282" s="9" t="str">
        <x:v>Piercing Thorns</x:v>
      </x:c>
      <x:c r="E282" s="9" t="str">
        <x:v>Espinas perforantes</x:v>
      </x:c>
      <x:c r="F282" s="9" t="str">
        <x:v>Encounter</x:v>
      </x:c>
      <x:c r="G282" s="9" t="str">
        <x:v>Absorbing Man</x:v>
      </x:c>
      <x:c r="H282" s="9" t="str">
        <x:v>Hombre absorbente</x:v>
      </x:c>
      <x:c r="I282" s="9" t="str">
        <x:v>https://marvelcdb.com/set/trors</x:v>
      </x:c>
      <x:c r="J282" s="9" t="str">
        <x:v>https://es.marvelcdb.com/set/trors</x:v>
      </x:c>
    </x:row>
    <x:row r="283" ht="20" customHeight="1">
      <x:c r="A283" s="9" t="str">
        <x:v>The Rise of Red Skull</x:v>
      </x:c>
      <x:c r="B283" s="9" t="str">
        <x:v>La Tiranía de Cráneo Rojo</x:v>
      </x:c>
      <x:c r="C283" s="9" t="n">
        <x:v>89</x:v>
      </x:c>
      <x:c r="D283" s="9" t="str">
        <x:v>Omni-Morph Duplication</x:v>
      </x:c>
      <x:c r="E283" s="9" t="str">
        <x:v>Duplicación omnimórfica</x:v>
      </x:c>
      <x:c r="F283" s="9" t="str">
        <x:v>Encounter</x:v>
      </x:c>
      <x:c r="G283" s="9" t="str">
        <x:v>Absorbing Man</x:v>
      </x:c>
      <x:c r="H283" s="9" t="str">
        <x:v>Hombre absorbente</x:v>
      </x:c>
      <x:c r="I283" s="9" t="str">
        <x:v>https://marvelcdb.com/set/trors</x:v>
      </x:c>
      <x:c r="J283" s="9" t="str">
        <x:v>https://es.marvelcdb.com/set/trors</x:v>
      </x:c>
    </x:row>
    <x:row r="284" ht="20" customHeight="1">
      <x:c r="A284" s="9" t="str">
        <x:v>The Rise of Red Skull</x:v>
      </x:c>
      <x:c r="B284" s="9" t="str">
        <x:v>La Tiranía de Cráneo Rojo</x:v>
      </x:c>
      <x:c r="C284" s="9" t="n">
        <x:v>90</x:v>
      </x:c>
      <x:c r="D284" s="9" t="str">
        <x:v>Icy Grip</x:v>
      </x:c>
      <x:c r="E284" s="9" t="str">
        <x:v>Presa gélida</x:v>
      </x:c>
      <x:c r="F284" s="9" t="str">
        <x:v>Encounter</x:v>
      </x:c>
      <x:c r="G284" s="9" t="str">
        <x:v>Absorbing Man</x:v>
      </x:c>
      <x:c r="H284" s="9" t="str">
        <x:v>Hombre absorbente</x:v>
      </x:c>
      <x:c r="I284" s="9" t="str">
        <x:v>https://marvelcdb.com/set/trors</x:v>
      </x:c>
      <x:c r="J284" s="9" t="str">
        <x:v>https://es.marvelcdb.com/set/trors</x:v>
      </x:c>
    </x:row>
    <x:row r="285" ht="20" customHeight="1">
      <x:c r="A285" s="9" t="str">
        <x:v>The Rise of Red Skull</x:v>
      </x:c>
      <x:c r="B285" s="9" t="str">
        <x:v>La Tiranía de Cráneo Rojo</x:v>
      </x:c>
      <x:c r="C285" s="9" t="n">
        <x:v>91</x:v>
      </x:c>
      <x:c r="D285" s="9" t="str">
        <x:v>Avalanche!</x:v>
      </x:c>
      <x:c r="E285" s="9" t="str">
        <x:v>¡Avalancha!</x:v>
      </x:c>
      <x:c r="F285" s="9" t="str">
        <x:v>Encounter</x:v>
      </x:c>
      <x:c r="G285" s="9" t="str">
        <x:v>Absorbing Man</x:v>
      </x:c>
      <x:c r="H285" s="9" t="str">
        <x:v>Hombre absorbente</x:v>
      </x:c>
      <x:c r="I285" s="9" t="str">
        <x:v>https://marvelcdb.com/set/trors</x:v>
      </x:c>
      <x:c r="J285" s="9" t="str">
        <x:v>https://es.marvelcdb.com/set/trors</x:v>
      </x:c>
    </x:row>
    <x:row r="286" ht="20" customHeight="1">
      <x:c r="A286" s="9" t="str">
        <x:v>The Rise of Red Skull</x:v>
      </x:c>
      <x:c r="B286" s="9" t="str">
        <x:v>La Tiranía de Cráneo Rojo</x:v>
      </x:c>
      <x:c r="C286" s="9" t="n">
        <x:v>92</x:v>
      </x:c>
      <x:c r="D286" s="9" t="str">
        <x:v>Super Absorbing Power</x:v>
      </x:c>
      <x:c r="E286" s="9" t="str">
        <x:v>Poder de absorción superior</x:v>
      </x:c>
      <x:c r="F286" s="9" t="str">
        <x:v>Encounter</x:v>
      </x:c>
      <x:c r="G286" s="9" t="str">
        <x:v>Absorbing Man</x:v>
      </x:c>
      <x:c r="H286" s="9" t="str">
        <x:v>Hombre absorbente</x:v>
      </x:c>
      <x:c r="I286" s="9" t="str">
        <x:v>https://marvelcdb.com/set/trors</x:v>
      </x:c>
      <x:c r="J286" s="9" t="str">
        <x:v>https://es.marvelcdb.com/set/trors</x:v>
      </x:c>
    </x:row>
    <x:row r="287" ht="20" customHeight="1">
      <x:c r="A287" s="9" t="str">
        <x:v>The Rise of Red Skull</x:v>
      </x:c>
      <x:c r="B287" s="9" t="str">
        <x:v>La Tiranía de Cráneo Rojo</x:v>
      </x:c>
      <x:c r="C287" s="9" t="n">
        <x:v>93</x:v>
      </x:c>
      <x:c r="D287" s="9" t="str">
        <x:v>Taskmaster (I)</x:v>
      </x:c>
      <x:c r="E287" s="9" t="str">
        <x:v>Supervisor (I)</x:v>
      </x:c>
      <x:c r="F287" s="9" t="str">
        <x:v>Encounter</x:v>
      </x:c>
      <x:c r="G287" s="9" t="str">
        <x:v>Taskmaster</x:v>
      </x:c>
      <x:c r="H287" s="9" t="str">
        <x:v>Supervisor</x:v>
      </x:c>
      <x:c r="I287" s="9" t="str">
        <x:v>https://marvelcdb.com/set/trors</x:v>
      </x:c>
      <x:c r="J287" s="9" t="str">
        <x:v>https://es.marvelcdb.com/set/trors</x:v>
      </x:c>
    </x:row>
    <x:row r="288" ht="20" customHeight="1">
      <x:c r="A288" s="9" t="str">
        <x:v>The Rise of Red Skull</x:v>
      </x:c>
      <x:c r="B288" s="9" t="str">
        <x:v>La Tiranía de Cráneo Rojo</x:v>
      </x:c>
      <x:c r="C288" s="9" t="n">
        <x:v>94</x:v>
      </x:c>
      <x:c r="D288" s="9" t="str">
        <x:v>Taskmaster (II)</x:v>
      </x:c>
      <x:c r="E288" s="9" t="str">
        <x:v>Supervisor (II)</x:v>
      </x:c>
      <x:c r="F288" s="9" t="str">
        <x:v>Encounter</x:v>
      </x:c>
      <x:c r="G288" s="9" t="str">
        <x:v>Taskmaster</x:v>
      </x:c>
      <x:c r="H288" s="9" t="str">
        <x:v>Supervisor</x:v>
      </x:c>
      <x:c r="I288" s="9" t="str">
        <x:v>https://marvelcdb.com/set/trors</x:v>
      </x:c>
      <x:c r="J288" s="9" t="str">
        <x:v>https://es.marvelcdb.com/set/trors</x:v>
      </x:c>
    </x:row>
    <x:row r="289" ht="20" customHeight="1">
      <x:c r="A289" s="9" t="str">
        <x:v>The Rise of Red Skull</x:v>
      </x:c>
      <x:c r="B289" s="9" t="str">
        <x:v>La Tiranía de Cráneo Rojo</x:v>
      </x:c>
      <x:c r="C289" s="9" t="n">
        <x:v>95</x:v>
      </x:c>
      <x:c r="D289" s="9" t="str">
        <x:v>Taskmaster (III)</x:v>
      </x:c>
      <x:c r="E289" s="9" t="str">
        <x:v>Supervisor (III)</x:v>
      </x:c>
      <x:c r="F289" s="9" t="str">
        <x:v>Encounter</x:v>
      </x:c>
      <x:c r="G289" s="9" t="str">
        <x:v>Taskmaster</x:v>
      </x:c>
      <x:c r="H289" s="9" t="str">
        <x:v>Supervisor</x:v>
      </x:c>
      <x:c r="I289" s="9" t="str">
        <x:v>https://marvelcdb.com/set/trors</x:v>
      </x:c>
      <x:c r="J289" s="9" t="str">
        <x:v>https://es.marvelcdb.com/set/trors</x:v>
      </x:c>
    </x:row>
    <x:row r="290" ht="20" customHeight="1">
      <x:c r="A290" s="9" t="str">
        <x:v>The Rise of Red Skull</x:v>
      </x:c>
      <x:c r="B290" s="9" t="str">
        <x:v>La Tiranía de Cráneo Rojo</x:v>
      </x:c>
      <x:c r="C290" s="9" t="n">
        <x:v>96</x:v>
      </x:c>
      <x:c r="D290" s="9" t="str">
        <x:v>Hunting Down Heroes</x:v>
      </x:c>
      <x:c r="E290" s="9" t="str">
        <x:v>A la caza del héroe</x:v>
      </x:c>
      <x:c r="F290" s="9" t="str">
        <x:v>Encounter</x:v>
      </x:c>
      <x:c r="G290" s="9" t="str">
        <x:v>Taskmaster</x:v>
      </x:c>
      <x:c r="H290" s="9" t="str">
        <x:v>Supervisor</x:v>
      </x:c>
      <x:c r="I290" s="9" t="str">
        <x:v>https://marvelcdb.com/set/trors</x:v>
      </x:c>
      <x:c r="J290" s="9" t="str">
        <x:v>https://es.marvelcdb.com/set/trors</x:v>
      </x:c>
    </x:row>
    <x:row r="291" ht="20" customHeight="1">
      <x:c r="A291" s="9" t="str">
        <x:v>The Rise of Red Skull</x:v>
      </x:c>
      <x:c r="B291" s="9" t="str">
        <x:v>La Tiranía de Cráneo Rojo</x:v>
      </x:c>
      <x:c r="C291" s="9" t="n">
        <x:v>97</x:v>
      </x:c>
      <x:c r="D291" s="9" t="str">
        <x:v>Moon Knight: Marc Spector</x:v>
      </x:c>
      <x:c r="E291" s="9" t="str">
        <x:v>Caballero Luna: Marc Spector</x:v>
      </x:c>
      <x:c r="F291" s="9" t="str">
        <x:v>Encounter</x:v>
      </x:c>
      <x:c r="G291" s="9" t="str">
        <x:v>Taskmaster</x:v>
      </x:c>
      <x:c r="H291" s="9" t="str">
        <x:v>Supervisor</x:v>
      </x:c>
      <x:c r="I291" s="9" t="str">
        <x:v>https://marvelcdb.com/set/trors</x:v>
      </x:c>
      <x:c r="J291" s="9" t="str">
        <x:v>https://es.marvelcdb.com/set/trors</x:v>
      </x:c>
    </x:row>
    <x:row r="292" ht="20" customHeight="1">
      <x:c r="A292" s="9" t="str">
        <x:v>The Rise of Red Skull</x:v>
      </x:c>
      <x:c r="B292" s="9" t="str">
        <x:v>La Tiranía de Cráneo Rojo</x:v>
      </x:c>
      <x:c r="C292" s="9" t="n">
        <x:v>98</x:v>
      </x:c>
      <x:c r="D292" s="9" t="str">
        <x:v>Shang-Chi</x:v>
      </x:c>
      <x:c r="E292" s="9" t="str">
        <x:v>Shang-Chi</x:v>
      </x:c>
      <x:c r="F292" s="9" t="str">
        <x:v>Encounter</x:v>
      </x:c>
      <x:c r="G292" s="9" t="str">
        <x:v>Taskmaster</x:v>
      </x:c>
      <x:c r="H292" s="9" t="str">
        <x:v>Supervisor</x:v>
      </x:c>
      <x:c r="I292" s="9" t="str">
        <x:v>https://marvelcdb.com/set/trors</x:v>
      </x:c>
      <x:c r="J292" s="9" t="str">
        <x:v>https://es.marvelcdb.com/set/trors</x:v>
      </x:c>
    </x:row>
    <x:row r="293" ht="20" customHeight="1">
      <x:c r="A293" s="9" t="str">
        <x:v>The Rise of Red Skull</x:v>
      </x:c>
      <x:c r="B293" s="9" t="str">
        <x:v>La Tiranía de Cráneo Rojo</x:v>
      </x:c>
      <x:c r="C293" s="9" t="n">
        <x:v>99</x:v>
      </x:c>
      <x:c r="D293" s="9" t="str">
        <x:v>White Tiger: Angela Del Toro</x:v>
      </x:c>
      <x:c r="E293" s="9" t="str">
        <x:v>Tigre Blanco: Angela Del Toro</x:v>
      </x:c>
      <x:c r="F293" s="9" t="str">
        <x:v>Encounter</x:v>
      </x:c>
      <x:c r="G293" s="9" t="str">
        <x:v>Taskmaster</x:v>
      </x:c>
      <x:c r="H293" s="9" t="str">
        <x:v>Supervisor</x:v>
      </x:c>
      <x:c r="I293" s="9" t="str">
        <x:v>https://marvelcdb.com/set/trors</x:v>
      </x:c>
      <x:c r="J293" s="9" t="str">
        <x:v>https://es.marvelcdb.com/set/trors</x:v>
      </x:c>
    </x:row>
    <x:row r="294" ht="20" customHeight="1">
      <x:c r="A294" s="9" t="str">
        <x:v>The Rise of Red Skull</x:v>
      </x:c>
      <x:c r="B294" s="9" t="str">
        <x:v>La Tiranía de Cráneo Rojo</x:v>
      </x:c>
      <x:c r="C294" s="9" t="n">
        <x:v>100</x:v>
      </x:c>
      <x:c r="D294" s="9" t="str">
        <x:v>Elektra</x:v>
      </x:c>
      <x:c r="E294" s="9" t="str">
        <x:v>Elektra</x:v>
      </x:c>
      <x:c r="F294" s="9" t="str">
        <x:v>Encounter</x:v>
      </x:c>
      <x:c r="G294" s="9" t="str">
        <x:v>Taskmaster</x:v>
      </x:c>
      <x:c r="H294" s="9" t="str">
        <x:v>Supervisor</x:v>
      </x:c>
      <x:c r="I294" s="9" t="str">
        <x:v>https://marvelcdb.com/set/trors</x:v>
      </x:c>
      <x:c r="J294" s="9" t="str">
        <x:v>https://es.marvelcdb.com/set/trors</x:v>
      </x:c>
    </x:row>
    <x:row r="295" ht="20" customHeight="1">
      <x:c r="A295" s="9" t="str">
        <x:v>The Rise of Red Skull</x:v>
      </x:c>
      <x:c r="B295" s="9" t="str">
        <x:v>La Tiranía de Cráneo Rojo</x:v>
      </x:c>
      <x:c r="C295" s="9" t="n">
        <x:v>101</x:v>
      </x:c>
      <x:c r="D295" s="9" t="str">
        <x:v>Hydra Hunter</x:v>
      </x:c>
      <x:c r="E295" s="9" t="str">
        <x:v>Cazador de Hydra</x:v>
      </x:c>
      <x:c r="F295" s="9" t="str">
        <x:v>Encounter</x:v>
      </x:c>
      <x:c r="G295" s="9" t="str">
        <x:v>Taskmaster</x:v>
      </x:c>
      <x:c r="H295" s="9" t="str">
        <x:v>Supervisor</x:v>
      </x:c>
      <x:c r="I295" s="9" t="str">
        <x:v>https://marvelcdb.com/set/trors</x:v>
      </x:c>
      <x:c r="J295" s="9" t="str">
        <x:v>https://es.marvelcdb.com/set/trors</x:v>
      </x:c>
    </x:row>
    <x:row r="296" ht="20" customHeight="1">
      <x:c r="A296" s="9" t="str">
        <x:v>The Rise of Red Skull</x:v>
      </x:c>
      <x:c r="B296" s="9" t="str">
        <x:v>La Tiranía de Cráneo Rojo</x:v>
      </x:c>
      <x:c r="C296" s="9" t="n">
        <x:v>102</x:v>
      </x:c>
      <x:c r="D296" s="9" t="str">
        <x:v>Taskmaster's Sword</x:v>
      </x:c>
      <x:c r="E296" s="9" t="str">
        <x:v>Espada del Supervisor</x:v>
      </x:c>
      <x:c r="F296" s="9" t="str">
        <x:v>Encounter</x:v>
      </x:c>
      <x:c r="G296" s="9" t="str">
        <x:v>Taskmaster</x:v>
      </x:c>
      <x:c r="H296" s="9" t="str">
        <x:v>Supervisor</x:v>
      </x:c>
      <x:c r="I296" s="9" t="str">
        <x:v>https://marvelcdb.com/set/trors</x:v>
      </x:c>
      <x:c r="J296" s="9" t="str">
        <x:v>https://es.marvelcdb.com/set/trors</x:v>
      </x:c>
    </x:row>
    <x:row r="297" ht="20" customHeight="1">
      <x:c r="A297" s="9" t="str">
        <x:v>The Rise of Red Skull</x:v>
      </x:c>
      <x:c r="B297" s="9" t="str">
        <x:v>La Tiranía de Cráneo Rojo</x:v>
      </x:c>
      <x:c r="C297" s="9" t="n">
        <x:v>103</x:v>
      </x:c>
      <x:c r="D297" s="9" t="str">
        <x:v>Taskmaster's Shield</x:v>
      </x:c>
      <x:c r="E297" s="9" t="str">
        <x:v>Escudo del Supervisor</x:v>
      </x:c>
      <x:c r="F297" s="9" t="str">
        <x:v>Encounter</x:v>
      </x:c>
      <x:c r="G297" s="9" t="str">
        <x:v>Taskmaster</x:v>
      </x:c>
      <x:c r="H297" s="9" t="str">
        <x:v>Supervisor</x:v>
      </x:c>
      <x:c r="I297" s="9" t="str">
        <x:v>https://marvelcdb.com/set/trors</x:v>
      </x:c>
      <x:c r="J297" s="9" t="str">
        <x:v>https://es.marvelcdb.com/set/trors</x:v>
      </x:c>
    </x:row>
    <x:row r="298" ht="20" customHeight="1">
      <x:c r="A298" s="9" t="str">
        <x:v>The Rise of Red Skull</x:v>
      </x:c>
      <x:c r="B298" s="9" t="str">
        <x:v>La Tiranía de Cráneo Rojo</x:v>
      </x:c>
      <x:c r="C298" s="9" t="n">
        <x:v>104</x:v>
      </x:c>
      <x:c r="D298" s="9" t="str">
        <x:v>Photographic Reflexes</x:v>
      </x:c>
      <x:c r="E298" s="9" t="str">
        <x:v>Reflejos fotográficos</x:v>
      </x:c>
      <x:c r="F298" s="9" t="str">
        <x:v>Encounter</x:v>
      </x:c>
      <x:c r="G298" s="9" t="str">
        <x:v>Taskmaster</x:v>
      </x:c>
      <x:c r="H298" s="9" t="str">
        <x:v>Supervisor</x:v>
      </x:c>
      <x:c r="I298" s="9" t="str">
        <x:v>https://marvelcdb.com/set/trors</x:v>
      </x:c>
      <x:c r="J298" s="9" t="str">
        <x:v>https://es.marvelcdb.com/set/trors</x:v>
      </x:c>
    </x:row>
    <x:row r="299" ht="20" customHeight="1">
      <x:c r="A299" s="9" t="str">
        <x:v>The Rise of Red Skull</x:v>
      </x:c>
      <x:c r="B299" s="9" t="str">
        <x:v>La Tiranía de Cráneo Rojo</x:v>
      </x:c>
      <x:c r="C299" s="9" t="n">
        <x:v>105</x:v>
      </x:c>
      <x:c r="D299" s="9" t="str">
        <x:v>Mimicry</x:v>
      </x:c>
      <x:c r="E299" s="9" t="str">
        <x:v>Imitación</x:v>
      </x:c>
      <x:c r="F299" s="9" t="str">
        <x:v>Encounter</x:v>
      </x:c>
      <x:c r="G299" s="9" t="str">
        <x:v>Taskmaster</x:v>
      </x:c>
      <x:c r="H299" s="9" t="str">
        <x:v>Supervisor</x:v>
      </x:c>
      <x:c r="I299" s="9" t="str">
        <x:v>https://marvelcdb.com/set/trors</x:v>
      </x:c>
      <x:c r="J299" s="9" t="str">
        <x:v>https://es.marvelcdb.com/set/trors</x:v>
      </x:c>
    </x:row>
    <x:row r="300" ht="20" customHeight="1">
      <x:c r="A300" s="9" t="str">
        <x:v>The Rise of Red Skull</x:v>
      </x:c>
      <x:c r="B300" s="9" t="str">
        <x:v>La Tiranía de Cráneo Rojo</x:v>
      </x:c>
      <x:c r="C300" s="9" t="n">
        <x:v>106</x:v>
      </x:c>
      <x:c r="D300" s="9" t="str">
        <x:v>Hunted by Hydra</x:v>
      </x:c>
      <x:c r="E300" s="9" t="str">
        <x:v>Perseguidos por Hydra</x:v>
      </x:c>
      <x:c r="F300" s="9" t="str">
        <x:v>Encounter</x:v>
      </x:c>
      <x:c r="G300" s="9" t="str">
        <x:v>Taskmaster</x:v>
      </x:c>
      <x:c r="H300" s="9" t="str">
        <x:v>Supervisor</x:v>
      </x:c>
      <x:c r="I300" s="9" t="str">
        <x:v>https://marvelcdb.com/set/trors</x:v>
      </x:c>
      <x:c r="J300" s="9" t="str">
        <x:v>https://es.marvelcdb.com/set/trors</x:v>
      </x:c>
    </x:row>
    <x:row r="301" ht="20" customHeight="1">
      <x:c r="A301" s="9" t="str">
        <x:v>The Rise of Red Skull</x:v>
      </x:c>
      <x:c r="B301" s="9" t="str">
        <x:v>La Tiranía de Cráneo Rojo</x:v>
      </x:c>
      <x:c r="C301" s="9" t="n">
        <x:v>107</x:v>
      </x:c>
      <x:c r="D301" s="9" t="str">
        <x:v>Captured by Hydra</x:v>
      </x:c>
      <x:c r="E301" s="9" t="str">
        <x:v>Capturado por Hydra</x:v>
      </x:c>
      <x:c r="F301" s="9" t="str">
        <x:v>Encounter</x:v>
      </x:c>
      <x:c r="G301" s="9" t="str">
        <x:v>Taskmaster</x:v>
      </x:c>
      <x:c r="H301" s="9" t="str">
        <x:v>Supervisor</x:v>
      </x:c>
      <x:c r="I301" s="9" t="str">
        <x:v>https://marvelcdb.com/set/trors</x:v>
      </x:c>
      <x:c r="J301" s="9" t="str">
        <x:v>https://es.marvelcdb.com/set/trors</x:v>
      </x:c>
    </x:row>
    <x:row r="302" ht="20" customHeight="1">
      <x:c r="A302" s="9" t="str">
        <x:v>The Rise of Red Skull</x:v>
      </x:c>
      <x:c r="B302" s="9" t="str">
        <x:v>La Tiranía de Cráneo Rojo</x:v>
      </x:c>
      <x:c r="C302" s="9" t="n">
        <x:v>108</x:v>
      </x:c>
      <x:c r="D302" s="9" t="str">
        <x:v>Taskmaster's Training Camp</x:v>
      </x:c>
      <x:c r="E302" s="9" t="str">
        <x:v>Campamento de instrucción del Supervisor</x:v>
      </x:c>
      <x:c r="F302" s="9" t="str">
        <x:v>Encounter</x:v>
      </x:c>
      <x:c r="G302" s="9" t="str">
        <x:v>Taskmaster</x:v>
      </x:c>
      <x:c r="H302" s="9" t="str">
        <x:v>Supervisor</x:v>
      </x:c>
      <x:c r="I302" s="9" t="str">
        <x:v>https://marvelcdb.com/set/trors</x:v>
      </x:c>
      <x:c r="J302" s="9" t="str">
        <x:v>https://es.marvelcdb.com/set/trors</x:v>
      </x:c>
    </x:row>
    <x:row r="303" ht="20" customHeight="1">
      <x:c r="A303" s="9" t="str">
        <x:v>The Rise of Red Skull</x:v>
      </x:c>
      <x:c r="B303" s="9" t="str">
        <x:v>La Tiranía de Cráneo Rojo</x:v>
      </x:c>
      <x:c r="C303" s="9" t="n">
        <x:v>109</x:v>
      </x:c>
      <x:c r="D303" s="9" t="str">
        <x:v>Zola (I)</x:v>
      </x:c>
      <x:c r="E303" s="9" t="str">
        <x:v>Zola (I)</x:v>
      </x:c>
      <x:c r="F303" s="9" t="str">
        <x:v>Encounter</x:v>
      </x:c>
      <x:c r="G303" s="9" t="str">
        <x:v>Zola</x:v>
      </x:c>
      <x:c r="H303" s="9" t="str">
        <x:v>Zola</x:v>
      </x:c>
      <x:c r="I303" s="9" t="str">
        <x:v>https://marvelcdb.com/set/trors</x:v>
      </x:c>
      <x:c r="J303" s="9" t="str">
        <x:v>https://es.marvelcdb.com/set/trors</x:v>
      </x:c>
    </x:row>
    <x:row r="304" ht="20" customHeight="1">
      <x:c r="A304" s="9" t="str">
        <x:v>The Rise of Red Skull</x:v>
      </x:c>
      <x:c r="B304" s="9" t="str">
        <x:v>La Tiranía de Cráneo Rojo</x:v>
      </x:c>
      <x:c r="C304" s="9" t="n">
        <x:v>110</x:v>
      </x:c>
      <x:c r="D304" s="9" t="str">
        <x:v>Zola (II)</x:v>
      </x:c>
      <x:c r="E304" s="9" t="str">
        <x:v>Zola (II)</x:v>
      </x:c>
      <x:c r="F304" s="9" t="str">
        <x:v>Encounter</x:v>
      </x:c>
      <x:c r="G304" s="9" t="str">
        <x:v>Zola</x:v>
      </x:c>
      <x:c r="H304" s="9" t="str">
        <x:v>Zola</x:v>
      </x:c>
      <x:c r="I304" s="9" t="str">
        <x:v>https://marvelcdb.com/set/trors</x:v>
      </x:c>
      <x:c r="J304" s="9" t="str">
        <x:v>https://es.marvelcdb.com/set/trors</x:v>
      </x:c>
    </x:row>
    <x:row r="305" ht="20" customHeight="1">
      <x:c r="A305" s="9" t="str">
        <x:v>The Rise of Red Skull</x:v>
      </x:c>
      <x:c r="B305" s="9" t="str">
        <x:v>La Tiranía de Cráneo Rojo</x:v>
      </x:c>
      <x:c r="C305" s="9" t="n">
        <x:v>111</x:v>
      </x:c>
      <x:c r="D305" s="9" t="str">
        <x:v>Zola (III)</x:v>
      </x:c>
      <x:c r="E305" s="9" t="str">
        <x:v>Zola (III)</x:v>
      </x:c>
      <x:c r="F305" s="9" t="str">
        <x:v>Encounter</x:v>
      </x:c>
      <x:c r="G305" s="9" t="str">
        <x:v>Zola</x:v>
      </x:c>
      <x:c r="H305" s="9" t="str">
        <x:v>Zola</x:v>
      </x:c>
      <x:c r="I305" s="9" t="str">
        <x:v>https://marvelcdb.com/set/trors</x:v>
      </x:c>
      <x:c r="J305" s="9" t="str">
        <x:v>https://es.marvelcdb.com/set/trors</x:v>
      </x:c>
    </x:row>
    <x:row r="306" ht="20" customHeight="1">
      <x:c r="A306" s="9" t="str">
        <x:v>The Rise of Red Skull</x:v>
      </x:c>
      <x:c r="B306" s="9" t="str">
        <x:v>La Tiranía de Cráneo Rojo</x:v>
      </x:c>
      <x:c r="C306" s="9" t="n">
        <x:v>112</x:v>
      </x:c>
      <x:c r="D306" s="9" t="str">
        <x:v>The Island of Dr. Zola</x:v>
      </x:c>
      <x:c r="E306" s="9" t="str">
        <x:v>La isla del doctor Zola</x:v>
      </x:c>
      <x:c r="F306" s="9" t="str">
        <x:v>Encounter</x:v>
      </x:c>
      <x:c r="G306" s="9" t="str">
        <x:v>Zola</x:v>
      </x:c>
      <x:c r="H306" s="9" t="str">
        <x:v>Zola</x:v>
      </x:c>
      <x:c r="I306" s="9" t="str">
        <x:v>https://marvelcdb.com/set/trors</x:v>
      </x:c>
      <x:c r="J306" s="9" t="str">
        <x:v>https://es.marvelcdb.com/set/trors</x:v>
      </x:c>
    </x:row>
    <x:row r="307" ht="20" customHeight="1">
      <x:c r="A307" s="9" t="str">
        <x:v>The Rise of Red Skull</x:v>
      </x:c>
      <x:c r="B307" s="9" t="str">
        <x:v>La Tiranía de Cráneo Rojo</x:v>
      </x:c>
      <x:c r="C307" s="9" t="n">
        <x:v>113</x:v>
      </x:c>
      <x:c r="D307" s="9" t="str">
        <x:v>The Mad Doctor</x:v>
      </x:c>
      <x:c r="E307" s="9" t="str">
        <x:v>El científico loco</x:v>
      </x:c>
      <x:c r="F307" s="9" t="str">
        <x:v>Encounter</x:v>
      </x:c>
      <x:c r="G307" s="9" t="str">
        <x:v>Zola</x:v>
      </x:c>
      <x:c r="H307" s="9" t="str">
        <x:v>Zola</x:v>
      </x:c>
      <x:c r="I307" s="9" t="str">
        <x:v>https://marvelcdb.com/set/trors</x:v>
      </x:c>
      <x:c r="J307" s="9" t="str">
        <x:v>https://es.marvelcdb.com/set/trors</x:v>
      </x:c>
    </x:row>
    <x:row r="308" ht="20" customHeight="1">
      <x:c r="A308" s="9" t="str">
        <x:v>The Rise of Red Skull</x:v>
      </x:c>
      <x:c r="B308" s="9" t="str">
        <x:v>La Tiranía de Cráneo Rojo</x:v>
      </x:c>
      <x:c r="C308" s="9" t="n">
        <x:v>114</x:v>
      </x:c>
      <x:c r="D308" s="9" t="str">
        <x:v>Ultimate Bio-Servant</x:v>
      </x:c>
      <x:c r="E308" s="9" t="str">
        <x:v>Biosiervo definitivo</x:v>
      </x:c>
      <x:c r="F308" s="9" t="str">
        <x:v>Encounter</x:v>
      </x:c>
      <x:c r="G308" s="9" t="str">
        <x:v>Zola</x:v>
      </x:c>
      <x:c r="H308" s="9" t="str">
        <x:v>Zola</x:v>
      </x:c>
      <x:c r="I308" s="9" t="str">
        <x:v>https://marvelcdb.com/set/trors</x:v>
      </x:c>
      <x:c r="J308" s="9" t="str">
        <x:v>https://es.marvelcdb.com/set/trors</x:v>
      </x:c>
    </x:row>
    <x:row r="309" ht="20" customHeight="1">
      <x:c r="A309" s="9" t="str">
        <x:v>The Rise of Red Skull</x:v>
      </x:c>
      <x:c r="B309" s="9" t="str">
        <x:v>La Tiranía de Cráneo Rojo</x:v>
      </x:c>
      <x:c r="C309" s="9" t="n">
        <x:v>115</x:v>
      </x:c>
      <x:c r="D309" s="9" t="str">
        <x:v>Zola's Mutate</x:v>
      </x:c>
      <x:c r="E309" s="9" t="str">
        <x:v>Mutado de Zola</x:v>
      </x:c>
      <x:c r="F309" s="9" t="str">
        <x:v>Encounter</x:v>
      </x:c>
      <x:c r="G309" s="9" t="str">
        <x:v>Zola</x:v>
      </x:c>
      <x:c r="H309" s="9" t="str">
        <x:v>Zola</x:v>
      </x:c>
      <x:c r="I309" s="9" t="str">
        <x:v>https://marvelcdb.com/set/trors</x:v>
      </x:c>
      <x:c r="J309" s="9" t="str">
        <x:v>https://es.marvelcdb.com/set/trors</x:v>
      </x:c>
    </x:row>
    <x:row r="310" ht="20" customHeight="1">
      <x:c r="A310" s="9" t="str">
        <x:v>The Rise of Red Skull</x:v>
      </x:c>
      <x:c r="B310" s="9" t="str">
        <x:v>La Tiranía de Cráneo Rojo</x:v>
      </x:c>
      <x:c r="C310" s="9" t="n">
        <x:v>116</x:v>
      </x:c>
      <x:c r="D310" s="9" t="str">
        <x:v>Berserk Mutate</x:v>
      </x:c>
      <x:c r="E310" s="9" t="str">
        <x:v>Mutado rabioso</x:v>
      </x:c>
      <x:c r="F310" s="9" t="str">
        <x:v>Encounter</x:v>
      </x:c>
      <x:c r="G310" s="9" t="str">
        <x:v>Zola</x:v>
      </x:c>
      <x:c r="H310" s="9" t="str">
        <x:v>Zola</x:v>
      </x:c>
      <x:c r="I310" s="9" t="str">
        <x:v>https://marvelcdb.com/set/trors</x:v>
      </x:c>
      <x:c r="J310" s="9" t="str">
        <x:v>https://es.marvelcdb.com/set/trors</x:v>
      </x:c>
    </x:row>
    <x:row r="311" ht="20" customHeight="1">
      <x:c r="A311" s="9" t="str">
        <x:v>The Rise of Red Skull</x:v>
      </x:c>
      <x:c r="B311" s="9" t="str">
        <x:v>La Tiranía de Cráneo Rojo</x:v>
      </x:c>
      <x:c r="C311" s="9" t="n">
        <x:v>117</x:v>
      </x:c>
      <x:c r="D311" s="9" t="str">
        <x:v>Defensive Programming</x:v>
      </x:c>
      <x:c r="E311" s="9" t="str">
        <x:v>Programación defensiva</x:v>
      </x:c>
      <x:c r="F311" s="9" t="str">
        <x:v>Encounter</x:v>
      </x:c>
      <x:c r="G311" s="9" t="str">
        <x:v>Zola</x:v>
      </x:c>
      <x:c r="H311" s="9" t="str">
        <x:v>Zola</x:v>
      </x:c>
      <x:c r="I311" s="9" t="str">
        <x:v>https://marvelcdb.com/set/trors</x:v>
      </x:c>
      <x:c r="J311" s="9" t="str">
        <x:v>https://es.marvelcdb.com/set/trors</x:v>
      </x:c>
    </x:row>
    <x:row r="312" ht="20" customHeight="1">
      <x:c r="A312" s="9" t="str">
        <x:v>The Rise of Red Skull</x:v>
      </x:c>
      <x:c r="B312" s="9" t="str">
        <x:v>La Tiranía de Cráneo Rojo</x:v>
      </x:c>
      <x:c r="C312" s="9" t="n">
        <x:v>118</x:v>
      </x:c>
      <x:c r="D312" s="9" t="str">
        <x:v>Pain Inhibitors</x:v>
      </x:c>
      <x:c r="E312" s="9" t="str">
        <x:v>Inhibidores del dolor</x:v>
      </x:c>
      <x:c r="F312" s="9" t="str">
        <x:v>Encounter</x:v>
      </x:c>
      <x:c r="G312" s="9" t="str">
        <x:v>Zola</x:v>
      </x:c>
      <x:c r="H312" s="9" t="str">
        <x:v>Zola</x:v>
      </x:c>
      <x:c r="I312" s="9" t="str">
        <x:v>https://marvelcdb.com/set/trors</x:v>
      </x:c>
      <x:c r="J312" s="9" t="str">
        <x:v>https://es.marvelcdb.com/set/trors</x:v>
      </x:c>
    </x:row>
    <x:row r="313" ht="20" customHeight="1">
      <x:c r="A313" s="9" t="str">
        <x:v>The Rise of Red Skull</x:v>
      </x:c>
      <x:c r="B313" s="9" t="str">
        <x:v>La Tiranía de Cráneo Rojo</x:v>
      </x:c>
      <x:c r="C313" s="9" t="n">
        <x:v>119</x:v>
      </x:c>
      <x:c r="D313" s="9" t="str">
        <x:v>Neurological Implants</x:v>
      </x:c>
      <x:c r="E313" s="9" t="str">
        <x:v>Implantes neurológicos</x:v>
      </x:c>
      <x:c r="F313" s="9" t="str">
        <x:v>Encounter</x:v>
      </x:c>
      <x:c r="G313" s="9" t="str">
        <x:v>Zola</x:v>
      </x:c>
      <x:c r="H313" s="9" t="str">
        <x:v>Zola</x:v>
      </x:c>
      <x:c r="I313" s="9" t="str">
        <x:v>https://marvelcdb.com/set/trors</x:v>
      </x:c>
      <x:c r="J313" s="9" t="str">
        <x:v>https://es.marvelcdb.com/set/trors</x:v>
      </x:c>
    </x:row>
    <x:row r="314" ht="20" customHeight="1">
      <x:c r="A314" s="9" t="str">
        <x:v>The Rise of Red Skull</x:v>
      </x:c>
      <x:c r="B314" s="9" t="str">
        <x:v>La Tiranía de Cráneo Rojo</x:v>
      </x:c>
      <x:c r="C314" s="9" t="n">
        <x:v>120</x:v>
      </x:c>
      <x:c r="D314" s="9" t="str">
        <x:v>Mind Ray</x:v>
      </x:c>
      <x:c r="E314" s="9" t="str">
        <x:v>Rayo mental</x:v>
      </x:c>
      <x:c r="F314" s="9" t="str">
        <x:v>Encounter</x:v>
      </x:c>
      <x:c r="G314" s="9" t="str">
        <x:v>Zola</x:v>
      </x:c>
      <x:c r="H314" s="9" t="str">
        <x:v>Zola</x:v>
      </x:c>
      <x:c r="I314" s="9" t="str">
        <x:v>https://marvelcdb.com/set/trors</x:v>
      </x:c>
      <x:c r="J314" s="9" t="str">
        <x:v>https://es.marvelcdb.com/set/trors</x:v>
      </x:c>
    </x:row>
    <x:row r="315" ht="20" customHeight="1">
      <x:c r="A315" s="9" t="str">
        <x:v>The Rise of Red Skull</x:v>
      </x:c>
      <x:c r="B315" s="9" t="str">
        <x:v>La Tiranía de Cráneo Rojo</x:v>
      </x:c>
      <x:c r="C315" s="9" t="n">
        <x:v>121</x:v>
      </x:c>
      <x:c r="D315" s="9" t="str">
        <x:v>Technological Enhancements</x:v>
      </x:c>
      <x:c r="E315" s="9" t="str">
        <x:v>Mejoras tecnológicas</x:v>
      </x:c>
      <x:c r="F315" s="9" t="str">
        <x:v>Encounter</x:v>
      </x:c>
      <x:c r="G315" s="9" t="str">
        <x:v>Zola</x:v>
      </x:c>
      <x:c r="H315" s="9" t="str">
        <x:v>Zola</x:v>
      </x:c>
      <x:c r="I315" s="9" t="str">
        <x:v>https://marvelcdb.com/set/trors</x:v>
      </x:c>
      <x:c r="J315" s="9" t="str">
        <x:v>https://es.marvelcdb.com/set/trors</x:v>
      </x:c>
    </x:row>
    <x:row r="316" ht="20" customHeight="1">
      <x:c r="A316" s="9" t="str">
        <x:v>The Rise of Red Skull</x:v>
      </x:c>
      <x:c r="B316" s="9" t="str">
        <x:v>La Tiranía de Cráneo Rojo</x:v>
      </x:c>
      <x:c r="C316" s="9" t="n">
        <x:v>122</x:v>
      </x:c>
      <x:c r="D316" s="9" t="str">
        <x:v>Hydra Prison</x:v>
      </x:c>
      <x:c r="E316" s="9" t="str">
        <x:v>Prisión de Hydra</x:v>
      </x:c>
      <x:c r="F316" s="9" t="str">
        <x:v>Encounter</x:v>
      </x:c>
      <x:c r="G316" s="9" t="str">
        <x:v>Zola</x:v>
      </x:c>
      <x:c r="H316" s="9" t="str">
        <x:v>Zola</x:v>
      </x:c>
      <x:c r="I316" s="9" t="str">
        <x:v>https://marvelcdb.com/set/trors</x:v>
      </x:c>
      <x:c r="J316" s="9" t="str">
        <x:v>https://es.marvelcdb.com/set/trors</x:v>
      </x:c>
    </x:row>
    <x:row r="317" ht="20" customHeight="1">
      <x:c r="A317" s="9" t="str">
        <x:v>The Rise of Red Skull</x:v>
      </x:c>
      <x:c r="B317" s="9" t="str">
        <x:v>La Tiranía de Cráneo Rojo</x:v>
      </x:c>
      <x:c r="C317" s="9" t="n">
        <x:v>123</x:v>
      </x:c>
      <x:c r="D317" s="9" t="str">
        <x:v>Test Subjects</x:v>
      </x:c>
      <x:c r="E317" s="9" t="str">
        <x:v>Sujetos de prueba</x:v>
      </x:c>
      <x:c r="F317" s="9" t="str">
        <x:v>Encounter</x:v>
      </x:c>
      <x:c r="G317" s="9" t="str">
        <x:v>Zola</x:v>
      </x:c>
      <x:c r="H317" s="9" t="str">
        <x:v>Zola</x:v>
      </x:c>
      <x:c r="I317" s="9" t="str">
        <x:v>https://marvelcdb.com/set/trors</x:v>
      </x:c>
      <x:c r="J317" s="9" t="str">
        <x:v>https://es.marvelcdb.com/set/trors</x:v>
      </x:c>
    </x:row>
    <x:row r="318" ht="20" customHeight="1">
      <x:c r="A318" s="9" t="str">
        <x:v>The Rise of Red Skull</x:v>
      </x:c>
      <x:c r="B318" s="9" t="str">
        <x:v>La Tiranía de Cráneo Rojo</x:v>
      </x:c>
      <x:c r="C318" s="9" t="n">
        <x:v>124</x:v>
      </x:c>
      <x:c r="D318" s="9" t="str">
        <x:v>Zola's Experiments</x:v>
      </x:c>
      <x:c r="E318" s="9" t="str">
        <x:v>Los experimentos de Zola</x:v>
      </x:c>
      <x:c r="F318" s="9" t="str">
        <x:v>Encounter</x:v>
      </x:c>
      <x:c r="G318" s="9" t="str">
        <x:v>Zola</x:v>
      </x:c>
      <x:c r="H318" s="9" t="str">
        <x:v>Zola</x:v>
      </x:c>
      <x:c r="I318" s="9" t="str">
        <x:v>https://marvelcdb.com/set/trors</x:v>
      </x:c>
      <x:c r="J318" s="9" t="str">
        <x:v>https://es.marvelcdb.com/set/trors</x:v>
      </x:c>
    </x:row>
    <x:row r="319" ht="20" customHeight="1">
      <x:c r="A319" s="9" t="str">
        <x:v>The Rise of Red Skull</x:v>
      </x:c>
      <x:c r="B319" s="9" t="str">
        <x:v>La Tiranía de Cráneo Rojo</x:v>
      </x:c>
      <x:c r="C319" s="9" t="n">
        <x:v>125</x:v>
      </x:c>
      <x:c r="D319" s="9" t="str">
        <x:v>Red Skull (I)</x:v>
      </x:c>
      <x:c r="E319" s="9" t="str">
        <x:v>Cráneo Rojo (I)</x:v>
      </x:c>
      <x:c r="F319" s="9" t="str">
        <x:v>Encounter</x:v>
      </x:c>
      <x:c r="G319" s="9" t="str">
        <x:v>Red Skull</x:v>
      </x:c>
      <x:c r="H319" s="9" t="str">
        <x:v>Cráneo Rojo</x:v>
      </x:c>
      <x:c r="I319" s="9" t="str">
        <x:v>https://marvelcdb.com/set/trors</x:v>
      </x:c>
      <x:c r="J319" s="9" t="str">
        <x:v>https://es.marvelcdb.com/set/trors</x:v>
      </x:c>
    </x:row>
    <x:row r="320" ht="20" customHeight="1">
      <x:c r="A320" s="9" t="str">
        <x:v>The Rise of Red Skull</x:v>
      </x:c>
      <x:c r="B320" s="9" t="str">
        <x:v>La Tiranía de Cráneo Rojo</x:v>
      </x:c>
      <x:c r="C320" s="9" t="n">
        <x:v>126</x:v>
      </x:c>
      <x:c r="D320" s="9" t="str">
        <x:v>Red Skull (II)</x:v>
      </x:c>
      <x:c r="E320" s="9" t="str">
        <x:v>Cráneo Rojo (II)</x:v>
      </x:c>
      <x:c r="F320" s="9" t="str">
        <x:v>Encounter</x:v>
      </x:c>
      <x:c r="G320" s="9" t="str">
        <x:v>Red Skull</x:v>
      </x:c>
      <x:c r="H320" s="9" t="str">
        <x:v>Cráneo Rojo</x:v>
      </x:c>
      <x:c r="I320" s="9" t="str">
        <x:v>https://marvelcdb.com/set/trors</x:v>
      </x:c>
      <x:c r="J320" s="9" t="str">
        <x:v>https://es.marvelcdb.com/set/trors</x:v>
      </x:c>
    </x:row>
    <x:row r="321" ht="20" customHeight="1">
      <x:c r="A321" s="9" t="str">
        <x:v>The Rise of Red Skull</x:v>
      </x:c>
      <x:c r="B321" s="9" t="str">
        <x:v>La Tiranía de Cráneo Rojo</x:v>
      </x:c>
      <x:c r="C321" s="9" t="n">
        <x:v>127</x:v>
      </x:c>
      <x:c r="D321" s="9" t="str">
        <x:v>Red Skull (III)</x:v>
      </x:c>
      <x:c r="E321" s="9" t="str">
        <x:v>Cráneo Rojo (III)</x:v>
      </x:c>
      <x:c r="F321" s="9" t="str">
        <x:v>Encounter</x:v>
      </x:c>
      <x:c r="G321" s="9" t="str">
        <x:v>Red Skull</x:v>
      </x:c>
      <x:c r="H321" s="9" t="str">
        <x:v>Cráneo Rojo</x:v>
      </x:c>
      <x:c r="I321" s="9" t="str">
        <x:v>https://marvelcdb.com/set/trors</x:v>
      </x:c>
      <x:c r="J321" s="9" t="str">
        <x:v>https://es.marvelcdb.com/set/trors</x:v>
      </x:c>
    </x:row>
    <x:row r="322" ht="20" customHeight="1">
      <x:c r="A322" s="9" t="str">
        <x:v>The Rise of Red Skull</x:v>
      </x:c>
      <x:c r="B322" s="9" t="str">
        <x:v>La Tiranía de Cráneo Rojo</x:v>
      </x:c>
      <x:c r="C322" s="9" t="n">
        <x:v>128</x:v>
      </x:c>
      <x:c r="D322" s="9" t="str">
        <x:v>The Rise of Red Skull</x:v>
      </x:c>
      <x:c r="E322" s="9" t="str">
        <x:v>La tiranía de Cráneo Rojo</x:v>
      </x:c>
      <x:c r="F322" s="9" t="str">
        <x:v>Encounter</x:v>
      </x:c>
      <x:c r="G322" s="9" t="str">
        <x:v>Red Skull</x:v>
      </x:c>
      <x:c r="H322" s="9" t="str">
        <x:v>Cráneo Rojo</x:v>
      </x:c>
      <x:c r="I322" s="9" t="str">
        <x:v>https://marvelcdb.com/set/trors</x:v>
      </x:c>
      <x:c r="J322" s="9" t="str">
        <x:v>https://es.marvelcdb.com/set/trors</x:v>
      </x:c>
    </x:row>
    <x:row r="323" ht="20" customHeight="1">
      <x:c r="A323" s="9" t="str">
        <x:v>The Rise of Red Skull</x:v>
      </x:c>
      <x:c r="B323" s="9" t="str">
        <x:v>La Tiranía de Cráneo Rojo</x:v>
      </x:c>
      <x:c r="C323" s="9" t="n">
        <x:v>129</x:v>
      </x:c>
      <x:c r="D323" s="9" t="str">
        <x:v>New World Hydra</x:v>
      </x:c>
      <x:c r="E323" s="9" t="str">
        <x:v>El nuevo mundo de Hydra</x:v>
      </x:c>
      <x:c r="F323" s="9" t="str">
        <x:v>Encounter</x:v>
      </x:c>
      <x:c r="G323" s="9" t="str">
        <x:v>Red Skull</x:v>
      </x:c>
      <x:c r="H323" s="9" t="str">
        <x:v>Cráneo Rojo</x:v>
      </x:c>
      <x:c r="I323" s="9" t="str">
        <x:v>https://marvelcdb.com/set/trors</x:v>
      </x:c>
      <x:c r="J323" s="9" t="str">
        <x:v>https://es.marvelcdb.com/set/trors</x:v>
      </x:c>
    </x:row>
    <x:row r="324" ht="20" customHeight="1">
      <x:c r="A324" s="9" t="str">
        <x:v>The Rise of Red Skull</x:v>
      </x:c>
      <x:c r="B324" s="9" t="str">
        <x:v>La Tiranía de Cráneo Rojo</x:v>
      </x:c>
      <x:c r="C324" s="9" t="n">
        <x:v>130</x:v>
      </x:c>
      <x:c r="D324" s="9" t="str">
        <x:v>The Sleeper</x:v>
      </x:c>
      <x:c r="E324" s="9" t="str">
        <x:v>El Durmiente</x:v>
      </x:c>
      <x:c r="F324" s="9" t="str">
        <x:v>Encounter</x:v>
      </x:c>
      <x:c r="G324" s="9" t="str">
        <x:v>Red Skull</x:v>
      </x:c>
      <x:c r="H324" s="9" t="str">
        <x:v>Cráneo Rojo</x:v>
      </x:c>
      <x:c r="I324" s="9" t="str">
        <x:v>https://marvelcdb.com/set/trors</x:v>
      </x:c>
      <x:c r="J324" s="9" t="str">
        <x:v>https://es.marvelcdb.com/set/trors</x:v>
      </x:c>
    </x:row>
    <x:row r="325" ht="20" customHeight="1">
      <x:c r="A325" s="9" t="str">
        <x:v>The Rise of Red Skull</x:v>
      </x:c>
      <x:c r="B325" s="9" t="str">
        <x:v>La Tiranía de Cráneo Rojo</x:v>
      </x:c>
      <x:c r="C325" s="9" t="n">
        <x:v>131</x:v>
      </x:c>
      <x:c r="D325" s="9" t="str">
        <x:v>Hydra Exo-Soldier</x:v>
      </x:c>
      <x:c r="E325" s="9" t="str">
        <x:v>Soldado de Hydra con exoarmadura</x:v>
      </x:c>
      <x:c r="F325" s="9" t="str">
        <x:v>Encounter</x:v>
      </x:c>
      <x:c r="G325" s="9" t="str">
        <x:v>Red Skull</x:v>
      </x:c>
      <x:c r="H325" s="9" t="str">
        <x:v>Cráneo Rojo</x:v>
      </x:c>
      <x:c r="I325" s="9" t="str">
        <x:v>https://marvelcdb.com/set/trors</x:v>
      </x:c>
      <x:c r="J325" s="9" t="str">
        <x:v>https://es.marvelcdb.com/set/trors</x:v>
      </x:c>
    </x:row>
    <x:row r="326" ht="20" customHeight="1">
      <x:c r="A326" s="9" t="str">
        <x:v>The Rise of Red Skull</x:v>
      </x:c>
      <x:c r="B326" s="9" t="str">
        <x:v>La Tiranía de Cráneo Rojo</x:v>
      </x:c>
      <x:c r="C326" s="9" t="n">
        <x:v>132</x:v>
      </x:c>
      <x:c r="D326" s="9" t="str">
        <x:v>Red Skull's Luger</x:v>
      </x:c>
      <x:c r="E326" s="9" t="str">
        <x:v>Luger de Cráneo Rojo</x:v>
      </x:c>
      <x:c r="F326" s="9" t="str">
        <x:v>Encounter</x:v>
      </x:c>
      <x:c r="G326" s="9" t="str">
        <x:v>Red Skull</x:v>
      </x:c>
      <x:c r="H326" s="9" t="str">
        <x:v>Cráneo Rojo</x:v>
      </x:c>
      <x:c r="I326" s="9" t="str">
        <x:v>https://marvelcdb.com/set/trors</x:v>
      </x:c>
      <x:c r="J326" s="9" t="str">
        <x:v>https://es.marvelcdb.com/set/trors</x:v>
      </x:c>
    </x:row>
    <x:row r="327" ht="20" customHeight="1">
      <x:c r="A327" s="9" t="str">
        <x:v>The Rise of Red Skull</x:v>
      </x:c>
      <x:c r="B327" s="9" t="str">
        <x:v>La Tiranía de Cráneo Rojo</x:v>
      </x:c>
      <x:c r="C327" s="9" t="n">
        <x:v>133</x:v>
      </x:c>
      <x:c r="D327" s="9" t="str">
        <x:v>Red Skull's Right Hook</x:v>
      </x:c>
      <x:c r="E327" s="9" t="str">
        <x:v>Derechazo de Cráneo Rojo</x:v>
      </x:c>
      <x:c r="F327" s="9" t="str">
        <x:v>Encounter</x:v>
      </x:c>
      <x:c r="G327" s="9" t="str">
        <x:v>Red Skull</x:v>
      </x:c>
      <x:c r="H327" s="9" t="str">
        <x:v>Cráneo Rojo</x:v>
      </x:c>
      <x:c r="I327" s="9" t="str">
        <x:v>https://marvelcdb.com/set/trors</x:v>
      </x:c>
      <x:c r="J327" s="9" t="str">
        <x:v>https://es.marvelcdb.com/set/trors</x:v>
      </x:c>
    </x:row>
    <x:row r="328" ht="20" customHeight="1">
      <x:c r="A328" s="9" t="str">
        <x:v>The Rise of Red Skull</x:v>
      </x:c>
      <x:c r="B328" s="9" t="str">
        <x:v>La Tiranía de Cráneo Rojo</x:v>
      </x:c>
      <x:c r="C328" s="9" t="n">
        <x:v>134</x:v>
      </x:c>
      <x:c r="D328" s="9" t="str">
        <x:v>Master Strategist</x:v>
      </x:c>
      <x:c r="E328" s="9" t="str">
        <x:v>Estratega consumado</x:v>
      </x:c>
      <x:c r="F328" s="9" t="str">
        <x:v>Encounter</x:v>
      </x:c>
      <x:c r="G328" s="9" t="str">
        <x:v>Red Skull</x:v>
      </x:c>
      <x:c r="H328" s="9" t="str">
        <x:v>Cráneo Rojo</x:v>
      </x:c>
      <x:c r="I328" s="9" t="str">
        <x:v>https://marvelcdb.com/set/trors</x:v>
      </x:c>
      <x:c r="J328" s="9" t="str">
        <x:v>https://es.marvelcdb.com/set/trors</x:v>
      </x:c>
    </x:row>
    <x:row r="329" ht="20" customHeight="1">
      <x:c r="A329" s="9" t="str">
        <x:v>The Rise of Red Skull</x:v>
      </x:c>
      <x:c r="B329" s="9" t="str">
        <x:v>La Tiranía de Cráneo Rojo</x:v>
      </x:c>
      <x:c r="C329" s="9" t="n">
        <x:v>135</x:v>
      </x:c>
      <x:c r="D329" s="9" t="str">
        <x:v>Twisted Reality</x:v>
      </x:c>
      <x:c r="E329" s="9" t="str">
        <x:v>Realidad distorsionada</x:v>
      </x:c>
      <x:c r="F329" s="9" t="str">
        <x:v>Encounter</x:v>
      </x:c>
      <x:c r="G329" s="9" t="str">
        <x:v>Red Skull</x:v>
      </x:c>
      <x:c r="H329" s="9" t="str">
        <x:v>Cráneo Rojo</x:v>
      </x:c>
      <x:c r="I329" s="9" t="str">
        <x:v>https://marvelcdb.com/set/trors</x:v>
      </x:c>
      <x:c r="J329" s="9" t="str">
        <x:v>https://es.marvelcdb.com/set/trors</x:v>
      </x:c>
    </x:row>
    <x:row r="330" ht="20" customHeight="1">
      <x:c r="A330" s="9" t="str">
        <x:v>The Rise of Red Skull</x:v>
      </x:c>
      <x:c r="B330" s="9" t="str">
        <x:v>La Tiranía de Cráneo Rojo</x:v>
      </x:c>
      <x:c r="C330" s="9" t="n">
        <x:v>136</x:v>
      </x:c>
      <x:c r="D330" s="9" t="str">
        <x:v>Bitter Rival</x:v>
      </x:c>
      <x:c r="E330" s="9" t="str">
        <x:v>Enemigo acérrimo</x:v>
      </x:c>
      <x:c r="F330" s="9" t="str">
        <x:v>Encounter</x:v>
      </x:c>
      <x:c r="G330" s="9" t="str">
        <x:v>Red Skull</x:v>
      </x:c>
      <x:c r="H330" s="9" t="str">
        <x:v>Cráneo Rojo</x:v>
      </x:c>
      <x:c r="I330" s="9" t="str">
        <x:v>https://marvelcdb.com/set/trors</x:v>
      </x:c>
      <x:c r="J330" s="9" t="str">
        <x:v>https://es.marvelcdb.com/set/trors</x:v>
      </x:c>
    </x:row>
    <x:row r="331" ht="20" customHeight="1">
      <x:c r="A331" s="9" t="str">
        <x:v>The Rise of Red Skull</x:v>
      </x:c>
      <x:c r="B331" s="9" t="str">
        <x:v>La Tiranía de Cráneo Rojo</x:v>
      </x:c>
      <x:c r="C331" s="9" t="n">
        <x:v>137</x:v>
      </x:c>
      <x:c r="D331" s="9" t="str">
        <x:v>Spreading Lies</x:v>
      </x:c>
      <x:c r="E331" s="9" t="str">
        <x:v>Difundir mentiras</x:v>
      </x:c>
      <x:c r="F331" s="9" t="str">
        <x:v>Encounter</x:v>
      </x:c>
      <x:c r="G331" s="9" t="str">
        <x:v>Red Skull</x:v>
      </x:c>
      <x:c r="H331" s="9" t="str">
        <x:v>Cráneo Rojo</x:v>
      </x:c>
      <x:c r="I331" s="9" t="str">
        <x:v>https://marvelcdb.com/set/trors</x:v>
      </x:c>
      <x:c r="J331" s="9" t="str">
        <x:v>https://es.marvelcdb.com/set/trors</x:v>
      </x:c>
    </x:row>
    <x:row r="332" ht="20" customHeight="1">
      <x:c r="A332" s="9" t="str">
        <x:v>The Rise of Red Skull</x:v>
      </x:c>
      <x:c r="B332" s="9" t="str">
        <x:v>La Tiranía de Cráneo Rojo</x:v>
      </x:c>
      <x:c r="C332" s="9" t="n">
        <x:v>138</x:v>
      </x:c>
      <x:c r="D332" s="9" t="str">
        <x:v>Infinite Power</x:v>
      </x:c>
      <x:c r="E332" s="9" t="str">
        <x:v>Poder infinito</x:v>
      </x:c>
      <x:c r="F332" s="9" t="str">
        <x:v>Encounter</x:v>
      </x:c>
      <x:c r="G332" s="9" t="str">
        <x:v>Red Skull</x:v>
      </x:c>
      <x:c r="H332" s="9" t="str">
        <x:v>Cráneo Rojo</x:v>
      </x:c>
      <x:c r="I332" s="9" t="str">
        <x:v>https://marvelcdb.com/set/trors</x:v>
      </x:c>
      <x:c r="J332" s="9" t="str">
        <x:v>https://es.marvelcdb.com/set/trors</x:v>
      </x:c>
    </x:row>
    <x:row r="333" ht="20" customHeight="1">
      <x:c r="A333" s="9" t="str">
        <x:v>The Rise of Red Skull</x:v>
      </x:c>
      <x:c r="B333" s="9" t="str">
        <x:v>La Tiranía de Cráneo Rojo</x:v>
      </x:c>
      <x:c r="C333" s="9" t="n">
        <x:v>139</x:v>
      </x:c>
      <x:c r="D333" s="9" t="str">
        <x:v>The Red House</x:v>
      </x:c>
      <x:c r="E333" s="9" t="str">
        <x:v>La Casa Roja</x:v>
      </x:c>
      <x:c r="F333" s="9" t="str">
        <x:v>Encounter</x:v>
      </x:c>
      <x:c r="G333" s="9" t="str">
        <x:v>Red Skull</x:v>
      </x:c>
      <x:c r="H333" s="9" t="str">
        <x:v>Cráneo Rojo</x:v>
      </x:c>
      <x:c r="I333" s="9" t="str">
        <x:v>https://marvelcdb.com/set/trors</x:v>
      </x:c>
      <x:c r="J333" s="9" t="str">
        <x:v>https://es.marvelcdb.com/set/trors</x:v>
      </x:c>
    </x:row>
    <x:row r="334" ht="20" customHeight="1">
      <x:c r="A334" s="9" t="str">
        <x:v>The Rise of Red Skull</x:v>
      </x:c>
      <x:c r="B334" s="9" t="str">
        <x:v>La Tiranía de Cráneo Rojo</x:v>
      </x:c>
      <x:c r="C334" s="9" t="n">
        <x:v>140</x:v>
      </x:c>
      <x:c r="D334" s="9" t="str">
        <x:v>The Sleeper Awakened</x:v>
      </x:c>
      <x:c r="E334" s="9" t="str">
        <x:v>El Durmiente ha despertado</x:v>
      </x:c>
      <x:c r="F334" s="9" t="str">
        <x:v>Encounter</x:v>
      </x:c>
      <x:c r="G334" s="9" t="str">
        <x:v>Red Skull</x:v>
      </x:c>
      <x:c r="H334" s="9" t="str">
        <x:v>Cráneo Rojo</x:v>
      </x:c>
      <x:c r="I334" s="9" t="str">
        <x:v>https://marvelcdb.com/set/trors</x:v>
      </x:c>
      <x:c r="J334" s="9" t="str">
        <x:v>https://es.marvelcdb.com/set/trors</x:v>
      </x:c>
    </x:row>
    <x:row r="335" ht="20" customHeight="1">
      <x:c r="A335" s="9" t="str">
        <x:v>The Rise of Red Skull</x:v>
      </x:c>
      <x:c r="B335" s="9" t="str">
        <x:v>La Tiranía de Cráneo Rojo</x:v>
      </x:c>
      <x:c r="C335" s="9" t="n">
        <x:v>141</x:v>
      </x:c>
      <x:c r="D335" s="9" t="str">
        <x:v>Prison Camps</x:v>
      </x:c>
      <x:c r="E335" s="9" t="str">
        <x:v>Campos de concentración</x:v>
      </x:c>
      <x:c r="F335" s="9" t="str">
        <x:v>Encounter</x:v>
      </x:c>
      <x:c r="G335" s="9" t="str">
        <x:v>Red Skull</x:v>
      </x:c>
      <x:c r="H335" s="9" t="str">
        <x:v>Cráneo Rojo</x:v>
      </x:c>
      <x:c r="I335" s="9" t="str">
        <x:v>https://marvelcdb.com/set/trors</x:v>
      </x:c>
      <x:c r="J335" s="9" t="str">
        <x:v>https://es.marvelcdb.com/set/trors</x:v>
      </x:c>
    </x:row>
    <x:row r="336" ht="20" customHeight="1">
      <x:c r="A336" s="9" t="str">
        <x:v>The Rise of Red Skull</x:v>
      </x:c>
      <x:c r="B336" s="9" t="str">
        <x:v>La Tiranía de Cráneo Rojo</x:v>
      </x:c>
      <x:c r="C336" s="9" t="n">
        <x:v>142</x:v>
      </x:c>
      <x:c r="D336" s="9" t="str">
        <x:v>Censor the Past</x:v>
      </x:c>
      <x:c r="E336" s="9" t="str">
        <x:v>Censurar el pasado</x:v>
      </x:c>
      <x:c r="F336" s="9" t="str">
        <x:v>Encounter</x:v>
      </x:c>
      <x:c r="G336" s="9" t="str">
        <x:v>Red Skull</x:v>
      </x:c>
      <x:c r="H336" s="9" t="str">
        <x:v>Cráneo Rojo</x:v>
      </x:c>
      <x:c r="I336" s="9" t="str">
        <x:v>https://marvelcdb.com/set/trors</x:v>
      </x:c>
      <x:c r="J336" s="9" t="str">
        <x:v>https://es.marvelcdb.com/set/trors</x:v>
      </x:c>
    </x:row>
    <x:row r="337" ht="20" customHeight="1">
      <x:c r="A337" s="9" t="str">
        <x:v>The Rise of Red Skull</x:v>
      </x:c>
      <x:c r="B337" s="9" t="str">
        <x:v>La Tiranía de Cráneo Rojo</x:v>
      </x:c>
      <x:c r="C337" s="9" t="n">
        <x:v>143</x:v>
      </x:c>
      <x:c r="D337" s="9" t="str">
        <x:v>Hydra Reinforcements</x:v>
      </x:c>
      <x:c r="E337" s="9" t="str">
        <x:v>Refuerzos de Hydra</x:v>
      </x:c>
      <x:c r="F337" s="9" t="str">
        <x:v>Encounter</x:v>
      </x:c>
      <x:c r="G337" s="9" t="str">
        <x:v>Red Skull</x:v>
      </x:c>
      <x:c r="H337" s="9" t="str">
        <x:v>Cráneo Rojo</x:v>
      </x:c>
      <x:c r="I337" s="9" t="str">
        <x:v>https://marvelcdb.com/set/trors</x:v>
      </x:c>
      <x:c r="J337" s="9" t="str">
        <x:v>https://es.marvelcdb.com/set/trors</x:v>
      </x:c>
    </x:row>
    <x:row r="338" ht="20" customHeight="1">
      <x:c r="A338" s="9" t="str">
        <x:v>The Rise of Red Skull</x:v>
      </x:c>
      <x:c r="B338" s="9" t="str">
        <x:v>La Tiranía de Cráneo Rojo</x:v>
      </x:c>
      <x:c r="C338" s="9" t="n">
        <x:v>144</x:v>
      </x:c>
      <x:c r="D338" s="9" t="str">
        <x:v>Mass Chaos</x:v>
      </x:c>
      <x:c r="E338" s="9" t="str">
        <x:v>Caos generalizado</x:v>
      </x:c>
      <x:c r="F338" s="9" t="str">
        <x:v>Encounter</x:v>
      </x:c>
      <x:c r="G338" s="9" t="str">
        <x:v>Red Skull</x:v>
      </x:c>
      <x:c r="H338" s="9" t="str">
        <x:v>Cráneo Rojo</x:v>
      </x:c>
      <x:c r="I338" s="9" t="str">
        <x:v>https://marvelcdb.com/set/trors</x:v>
      </x:c>
      <x:c r="J338" s="9" t="str">
        <x:v>https://es.marvelcdb.com/set/trors</x:v>
      </x:c>
    </x:row>
    <x:row r="339" ht="20" customHeight="1">
      <x:c r="A339" s="9" t="str">
        <x:v>The Rise of Red Skull</x:v>
      </x:c>
      <x:c r="B339" s="9" t="str">
        <x:v>La Tiranía de Cráneo Rojo</x:v>
      </x:c>
      <x:c r="C339" s="9" t="n">
        <x:v>145</x:v>
      </x:c>
      <x:c r="D339" s="9" t="str">
        <x:v>Hydra Flame-Soldier</x:v>
      </x:c>
      <x:c r="E339" s="9" t="str">
        <x:v>Soldado de Hydra con lanzallamas</x:v>
      </x:c>
      <x:c r="F339" s="9" t="str">
        <x:v>Encounter</x:v>
      </x:c>
      <x:c r="G339" s="9" t="str">
        <x:v>Hydra Assault</x:v>
      </x:c>
      <x:c r="H339" s="9" t="str">
        <x:v>Asalto de Hydra</x:v>
      </x:c>
      <x:c r="I339" s="9" t="str">
        <x:v>https://marvelcdb.com/set/trors</x:v>
      </x:c>
      <x:c r="J339" s="9" t="str">
        <x:v>https://es.marvelcdb.com/set/trors</x:v>
      </x:c>
    </x:row>
    <x:row r="340" ht="20" customHeight="1">
      <x:c r="A340" s="9" t="str">
        <x:v>The Rise of Red Skull</x:v>
      </x:c>
      <x:c r="B340" s="9" t="str">
        <x:v>La Tiranía de Cráneo Rojo</x:v>
      </x:c>
      <x:c r="C340" s="9" t="n">
        <x:v>146</x:v>
      </x:c>
      <x:c r="D340" s="9" t="str">
        <x:v>Hydra Jet-Trooper</x:v>
      </x:c>
      <x:c r="E340" s="9" t="str">
        <x:v>Soldado colador de Hydra</x:v>
      </x:c>
      <x:c r="F340" s="9" t="str">
        <x:v>Encounter</x:v>
      </x:c>
      <x:c r="G340" s="9" t="str">
        <x:v>Hydra Assault</x:v>
      </x:c>
      <x:c r="H340" s="9" t="str">
        <x:v>Asalto de Hydra</x:v>
      </x:c>
      <x:c r="I340" s="9" t="str">
        <x:v>https://marvelcdb.com/set/trors</x:v>
      </x:c>
      <x:c r="J340" s="9" t="str">
        <x:v>https://es.marvelcdb.com/set/trors</x:v>
      </x:c>
    </x:row>
    <x:row r="341" ht="20" customHeight="1">
      <x:c r="A341" s="9" t="str">
        <x:v>The Rise of Red Skull</x:v>
      </x:c>
      <x:c r="B341" s="9" t="str">
        <x:v>La Tiranía de Cráneo Rojo</x:v>
      </x:c>
      <x:c r="C341" s="9" t="n">
        <x:v>147</x:v>
      </x:c>
      <x:c r="D341" s="9" t="str">
        <x:v>Hail Hydra!</x:v>
      </x:c>
      <x:c r="E341" s="9" t="str">
        <x:v>¡Hail, Hydra!</x:v>
      </x:c>
      <x:c r="F341" s="9" t="str">
        <x:v>Encounter</x:v>
      </x:c>
      <x:c r="G341" s="9" t="str">
        <x:v>Hydra Assault</x:v>
      </x:c>
      <x:c r="H341" s="9" t="str">
        <x:v>Asalto de Hydra</x:v>
      </x:c>
      <x:c r="I341" s="9" t="str">
        <x:v>https://marvelcdb.com/set/trors</x:v>
      </x:c>
      <x:c r="J341" s="9" t="str">
        <x:v>https://es.marvelcdb.com/set/trors</x:v>
      </x:c>
    </x:row>
    <x:row r="342" ht="20" customHeight="1">
      <x:c r="A342" s="9" t="str">
        <x:v>The Rise of Red Skull</x:v>
      </x:c>
      <x:c r="B342" s="9" t="str">
        <x:v>La Tiranía de Cráneo Rojo</x:v>
      </x:c>
      <x:c r="C342" s="9" t="n">
        <x:v>148</x:v>
      </x:c>
      <x:c r="D342" s="9" t="str">
        <x:v>Combat Knife</x:v>
      </x:c>
      <x:c r="E342" s="9" t="str">
        <x:v>Cuchillo de combate</x:v>
      </x:c>
      <x:c r="F342" s="9" t="str">
        <x:v>Encounter</x:v>
      </x:c>
      <x:c r="G342" s="9" t="str">
        <x:v>Weapon Master</x:v>
      </x:c>
      <x:c r="H342" s="9" t="str">
        <x:v>Maestro de armas</x:v>
      </x:c>
      <x:c r="I342" s="9" t="str">
        <x:v>https://marvelcdb.com/set/trors</x:v>
      </x:c>
      <x:c r="J342" s="9" t="str">
        <x:v>https://es.marvelcdb.com/set/trors</x:v>
      </x:c>
    </x:row>
    <x:row r="343" ht="20" customHeight="1">
      <x:c r="A343" s="9" t="str">
        <x:v>The Rise of Red Skull</x:v>
      </x:c>
      <x:c r="B343" s="9" t="str">
        <x:v>La Tiranía de Cráneo Rojo</x:v>
      </x:c>
      <x:c r="C343" s="9" t="n">
        <x:v>149</x:v>
      </x:c>
      <x:c r="D343" s="9" t="str">
        <x:v>Hydra Sidearm</x:v>
      </x:c>
      <x:c r="E343" s="9" t="str">
        <x:v>Arma corta de Hydra</x:v>
      </x:c>
      <x:c r="F343" s="9" t="str">
        <x:v>Encounter</x:v>
      </x:c>
      <x:c r="G343" s="9" t="str">
        <x:v>Weapon Master</x:v>
      </x:c>
      <x:c r="H343" s="9" t="str">
        <x:v>Maestro de armas</x:v>
      </x:c>
      <x:c r="I343" s="9" t="str">
        <x:v>https://marvelcdb.com/set/trors</x:v>
      </x:c>
      <x:c r="J343" s="9" t="str">
        <x:v>https://es.marvelcdb.com/set/trors</x:v>
      </x:c>
    </x:row>
    <x:row r="344" ht="20" customHeight="1">
      <x:c r="A344" s="9" t="str">
        <x:v>The Rise of Red Skull</x:v>
      </x:c>
      <x:c r="B344" s="9" t="str">
        <x:v>La Tiranía de Cráneo Rojo</x:v>
      </x:c>
      <x:c r="C344" s="9" t="n">
        <x:v>150</x:v>
      </x:c>
      <x:c r="D344" s="9" t="str">
        <x:v>Weapon Master</x:v>
      </x:c>
      <x:c r="E344" s="9" t="str">
        <x:v>Maestro de armas</x:v>
      </x:c>
      <x:c r="F344" s="9" t="str">
        <x:v>Encounter</x:v>
      </x:c>
      <x:c r="G344" s="9" t="str">
        <x:v>Weapon Master</x:v>
      </x:c>
      <x:c r="H344" s="9" t="str">
        <x:v>Maestro de armas</x:v>
      </x:c>
      <x:c r="I344" s="9" t="str">
        <x:v>https://marvelcdb.com/set/trors</x:v>
      </x:c>
      <x:c r="J344" s="9" t="str">
        <x:v>https://es.marvelcdb.com/set/trors</x:v>
      </x:c>
    </x:row>
    <x:row r="345" ht="20" customHeight="1">
      <x:c r="A345" s="9" t="str">
        <x:v>The Rise of Red Skull</x:v>
      </x:c>
      <x:c r="B345" s="9" t="str">
        <x:v>La Tiranía de Cráneo Rojo</x:v>
      </x:c>
      <x:c r="C345" s="9" t="n">
        <x:v>151</x:v>
      </x:c>
      <x:c r="D345" s="9" t="str">
        <x:v>Concussion Grenade</x:v>
      </x:c>
      <x:c r="E345" s="9" t="str">
        <x:v>Granada de conmoción</x:v>
      </x:c>
      <x:c r="F345" s="9" t="str">
        <x:v>Encounter</x:v>
      </x:c>
      <x:c r="G345" s="9" t="str">
        <x:v>Weapon Master</x:v>
      </x:c>
      <x:c r="H345" s="9" t="str">
        <x:v>Maestro de armas</x:v>
      </x:c>
      <x:c r="I345" s="9" t="str">
        <x:v>https://marvelcdb.com/set/trors</x:v>
      </x:c>
      <x:c r="J345" s="9" t="str">
        <x:v>https://es.marvelcdb.com/set/trors</x:v>
      </x:c>
    </x:row>
    <x:row r="346" ht="20" customHeight="1">
      <x:c r="A346" s="9" t="str">
        <x:v>The Rise of Red Skull</x:v>
      </x:c>
      <x:c r="B346" s="9" t="str">
        <x:v>La Tiranía de Cráneo Rojo</x:v>
      </x:c>
      <x:c r="C346" s="9" t="n">
        <x:v>152</x:v>
      </x:c>
      <x:c r="D346" s="9" t="str">
        <x:v>Hydra Regular</x:v>
      </x:c>
      <x:c r="E346" s="9" t="str">
        <x:v>Tropa de Hydra</x:v>
      </x:c>
      <x:c r="F346" s="9" t="str">
        <x:v>Encounter</x:v>
      </x:c>
      <x:c r="G346" s="9" t="str">
        <x:v>Hydra Patrol</x:v>
      </x:c>
      <x:c r="H346" s="9" t="str">
        <x:v>Patrulla de Hydra</x:v>
      </x:c>
      <x:c r="I346" s="9" t="str">
        <x:v>https://marvelcdb.com/set/trors</x:v>
      </x:c>
      <x:c r="J346" s="9" t="str">
        <x:v>https://es.marvelcdb.com/set/trors</x:v>
      </x:c>
    </x:row>
    <x:row r="347" ht="20" customHeight="1">
      <x:c r="A347" s="9" t="str">
        <x:v>The Rise of Red Skull</x:v>
      </x:c>
      <x:c r="B347" s="9" t="str">
        <x:v>La Tiranía de Cráneo Rojo</x:v>
      </x:c>
      <x:c r="C347" s="9" t="n">
        <x:v>153</x:v>
      </x:c>
      <x:c r="D347" s="9" t="str">
        <x:v>Hydra Soldier</x:v>
      </x:c>
      <x:c r="E347" s="9" t="str">
        <x:v>Soldado de Hydra</x:v>
      </x:c>
      <x:c r="F347" s="9" t="str">
        <x:v>Encounter</x:v>
      </x:c>
      <x:c r="G347" s="9" t="str">
        <x:v>Hydra Patrol</x:v>
      </x:c>
      <x:c r="H347" s="9" t="str">
        <x:v>Patrulla de Hydra</x:v>
      </x:c>
      <x:c r="I347" s="9" t="str">
        <x:v>https://marvelcdb.com/set/trors</x:v>
      </x:c>
      <x:c r="J347" s="9" t="str">
        <x:v>https://es.marvelcdb.com/set/trors</x:v>
      </x:c>
    </x:row>
    <x:row r="348" ht="20" customHeight="1">
      <x:c r="A348" s="9" t="str">
        <x:v>The Rise of Red Skull</x:v>
      </x:c>
      <x:c r="B348" s="9" t="str">
        <x:v>La Tiranía de Cráneo Rojo</x:v>
      </x:c>
      <x:c r="C348" s="9" t="n">
        <x:v>154</x:v>
      </x:c>
      <x:c r="D348" s="9" t="str">
        <x:v>Hydra Patrol</x:v>
      </x:c>
      <x:c r="E348" s="9" t="str">
        <x:v>Patrulla de Hydra</x:v>
      </x:c>
      <x:c r="F348" s="9" t="str">
        <x:v>Encounter</x:v>
      </x:c>
      <x:c r="G348" s="9" t="str">
        <x:v>Hydra Patrol</x:v>
      </x:c>
      <x:c r="H348" s="9" t="str">
        <x:v>Patrulla de Hydra</x:v>
      </x:c>
      <x:c r="I348" s="9" t="str">
        <x:v>https://marvelcdb.com/set/trors</x:v>
      </x:c>
      <x:c r="J348" s="9" t="str">
        <x:v>https://es.marvelcdb.com/set/trors</x:v>
      </x:c>
    </x:row>
    <x:row r="349" ht="20" customHeight="1">
      <x:c r="A349" s="9" t="str">
        <x:v>The Rise of Red Skull</x:v>
      </x:c>
      <x:c r="B349" s="9" t="str">
        <x:v>La Tiranía de Cráneo Rojo</x:v>
      </x:c>
      <x:c r="C349" s="9" t="n">
        <x:v>155</x:v>
      </x:c>
      <x:c r="D349" s="9" t="str">
        <x:v>Adrenal Stims</x:v>
      </x:c>
      <x:c r="E349" s="9" t="str">
        <x:v>Estimulantes adrenales</x:v>
      </x:c>
      <x:c r="F349" s="9" t="str">
        <x:v>Campaign</x:v>
      </x:c>
      <x:c r="G349" s="9" t="str">
        <x:v>Hydra Campaign</x:v>
      </x:c>
      <x:c r="H349" s="9" t="str">
        <x:v>Campaña de Hydra</x:v>
      </x:c>
      <x:c r="I349" s="9" t="str">
        <x:v>https://marvelcdb.com/set/trors</x:v>
      </x:c>
      <x:c r="J349" s="9" t="str">
        <x:v>https://es.marvelcdb.com/set/trors</x:v>
      </x:c>
    </x:row>
    <x:row r="350" ht="20" customHeight="1">
      <x:c r="A350" s="9" t="str">
        <x:v>The Rise of Red Skull</x:v>
      </x:c>
      <x:c r="B350" s="9" t="str">
        <x:v>La Tiranía de Cráneo Rojo</x:v>
      </x:c>
      <x:c r="C350" s="9" t="n">
        <x:v>156</x:v>
      </x:c>
      <x:c r="D350" s="9" t="str">
        <x:v>Tactical Scanner</x:v>
      </x:c>
      <x:c r="E350" s="9" t="str">
        <x:v>Escáner táctico</x:v>
      </x:c>
      <x:c r="F350" s="9" t="str">
        <x:v>Campaign</x:v>
      </x:c>
      <x:c r="G350" s="9" t="str">
        <x:v>Hydra Campaign</x:v>
      </x:c>
      <x:c r="H350" s="9" t="str">
        <x:v>Campaña de Hydra</x:v>
      </x:c>
      <x:c r="I350" s="9" t="str">
        <x:v>https://marvelcdb.com/set/trors</x:v>
      </x:c>
      <x:c r="J350" s="9" t="str">
        <x:v>https://es.marvelcdb.com/set/trors</x:v>
      </x:c>
    </x:row>
    <x:row r="351" ht="20" customHeight="1">
      <x:c r="A351" s="9" t="str">
        <x:v>The Rise of Red Skull</x:v>
      </x:c>
      <x:c r="B351" s="9" t="str">
        <x:v>La Tiranía de Cráneo Rojo</x:v>
      </x:c>
      <x:c r="C351" s="9" t="n">
        <x:v>157</x:v>
      </x:c>
      <x:c r="D351" s="9" t="str">
        <x:v>Emergency Teleporter</x:v>
      </x:c>
      <x:c r="E351" s="9" t="str">
        <x:v>Teletransportador de emergencia</x:v>
      </x:c>
      <x:c r="F351" s="9" t="str">
        <x:v>Campaign</x:v>
      </x:c>
      <x:c r="G351" s="9" t="str">
        <x:v>Hydra Campaign</x:v>
      </x:c>
      <x:c r="H351" s="9" t="str">
        <x:v>Campaña de Hydra</x:v>
      </x:c>
      <x:c r="I351" s="9" t="str">
        <x:v>https://marvelcdb.com/set/trors</x:v>
      </x:c>
      <x:c r="J351" s="9" t="str">
        <x:v>https://es.marvelcdb.com/set/trors</x:v>
      </x:c>
    </x:row>
    <x:row r="352" ht="20" customHeight="1">
      <x:c r="A352" s="9" t="str">
        <x:v>The Rise of Red Skull</x:v>
      </x:c>
      <x:c r="B352" s="9" t="str">
        <x:v>La Tiranía de Cráneo Rojo</x:v>
      </x:c>
      <x:c r="C352" s="9" t="n">
        <x:v>158</x:v>
      </x:c>
      <x:c r="D352" s="9" t="str">
        <x:v>Laser Cannon</x:v>
      </x:c>
      <x:c r="E352" s="9" t="str">
        <x:v>Cañón láser</x:v>
      </x:c>
      <x:c r="F352" s="9" t="str">
        <x:v>Campaign</x:v>
      </x:c>
      <x:c r="G352" s="9" t="str">
        <x:v>Hydra Campaign</x:v>
      </x:c>
      <x:c r="H352" s="9" t="str">
        <x:v>Campaña de Hydra</x:v>
      </x:c>
      <x:c r="I352" s="9" t="str">
        <x:v>https://marvelcdb.com/set/trors</x:v>
      </x:c>
      <x:c r="J352" s="9" t="str">
        <x:v>https://es.marvelcdb.com/set/trors</x:v>
      </x:c>
    </x:row>
    <x:row r="353" ht="20" customHeight="1">
      <x:c r="A353" s="9" t="str">
        <x:v>The Rise of Red Skull</x:v>
      </x:c>
      <x:c r="B353" s="9" t="str">
        <x:v>La Tiranía de Cráneo Rojo</x:v>
      </x:c>
      <x:c r="C353" s="9" t="n">
        <x:v>159</x:v>
      </x:c>
      <x:c r="D353" s="9" t="str">
        <x:v>Basic Thwart Upgrade</x:v>
      </x:c>
      <x:c r="E353" s="9" t="str">
        <x:v>Mejora básica de Intervención</x:v>
      </x:c>
      <x:c r="F353" s="9" t="str">
        <x:v>Campaign</x:v>
      </x:c>
      <x:c r="G353" s="9" t="str">
        <x:v>Hydra Campaign</x:v>
      </x:c>
      <x:c r="H353" s="9" t="str">
        <x:v>Campaña de Hydra</x:v>
      </x:c>
      <x:c r="I353" s="9" t="str">
        <x:v>https://marvelcdb.com/set/trors</x:v>
      </x:c>
      <x:c r="J353" s="9" t="str">
        <x:v>https://es.marvelcdb.com/set/trors</x:v>
      </x:c>
    </x:row>
    <x:row r="354" ht="20" customHeight="1">
      <x:c r="A354" s="9" t="str">
        <x:v>The Rise of Red Skull</x:v>
      </x:c>
      <x:c r="B354" s="9" t="str">
        <x:v>La Tiranía de Cráneo Rojo</x:v>
      </x:c>
      <x:c r="C354" s="9" t="n">
        <x:v>160</x:v>
      </x:c>
      <x:c r="D354" s="9" t="str">
        <x:v>Basic Attack Upgrade</x:v>
      </x:c>
      <x:c r="E354" s="9" t="str">
        <x:v>Mejora básica de Ataque</x:v>
      </x:c>
      <x:c r="F354" s="9" t="str">
        <x:v>Campaign</x:v>
      </x:c>
      <x:c r="G354" s="9" t="str">
        <x:v>Hydra Campaign</x:v>
      </x:c>
      <x:c r="H354" s="9" t="str">
        <x:v>Campaña de Hydra</x:v>
      </x:c>
      <x:c r="I354" s="9" t="str">
        <x:v>https://marvelcdb.com/set/trors</x:v>
      </x:c>
      <x:c r="J354" s="9" t="str">
        <x:v>https://es.marvelcdb.com/set/trors</x:v>
      </x:c>
    </x:row>
    <x:row r="355" ht="20" customHeight="1">
      <x:c r="A355" s="9" t="str">
        <x:v>The Rise of Red Skull</x:v>
      </x:c>
      <x:c r="B355" s="9" t="str">
        <x:v>La Tiranía de Cráneo Rojo</x:v>
      </x:c>
      <x:c r="C355" s="9" t="n">
        <x:v>161</x:v>
      </x:c>
      <x:c r="D355" s="9" t="str">
        <x:v>Basic Defense Upgrade</x:v>
      </x:c>
      <x:c r="E355" s="9" t="str">
        <x:v>Mejora básica de Defensa</x:v>
      </x:c>
      <x:c r="F355" s="9" t="str">
        <x:v>Campaign</x:v>
      </x:c>
      <x:c r="G355" s="9" t="str">
        <x:v>Hydra Campaign</x:v>
      </x:c>
      <x:c r="H355" s="9" t="str">
        <x:v>Campaña de Hydra</x:v>
      </x:c>
      <x:c r="I355" s="9" t="str">
        <x:v>https://marvelcdb.com/set/trors</x:v>
      </x:c>
      <x:c r="J355" s="9" t="str">
        <x:v>https://es.marvelcdb.com/set/trors</x:v>
      </x:c>
    </x:row>
    <x:row r="356" ht="20" customHeight="1">
      <x:c r="A356" s="9" t="str">
        <x:v>The Rise of Red Skull</x:v>
      </x:c>
      <x:c r="B356" s="9" t="str">
        <x:v>La Tiranía de Cráneo Rojo</x:v>
      </x:c>
      <x:c r="C356" s="9" t="n">
        <x:v>162</x:v>
      </x:c>
      <x:c r="D356" s="9" t="str">
        <x:v>Basic Recovery Upgrade</x:v>
      </x:c>
      <x:c r="E356" s="9" t="str">
        <x:v>Mejora básica de Recuperación</x:v>
      </x:c>
      <x:c r="F356" s="9" t="str">
        <x:v>Campaign</x:v>
      </x:c>
      <x:c r="G356" s="9" t="str">
        <x:v>Hydra Campaign</x:v>
      </x:c>
      <x:c r="H356" s="9" t="str">
        <x:v>Campaña de Hydra</x:v>
      </x:c>
      <x:c r="I356" s="9" t="str">
        <x:v>https://marvelcdb.com/set/trors</x:v>
      </x:c>
      <x:c r="J356" s="9" t="str">
        <x:v>https://es.marvelcdb.com/set/trors</x:v>
      </x:c>
    </x:row>
    <x:row r="357" ht="20" customHeight="1">
      <x:c r="A357" s="9" t="str">
        <x:v>The Rise of Red Skull</x:v>
      </x:c>
      <x:c r="B357" s="9" t="str">
        <x:v>La Tiranía de Cráneo Rojo</x:v>
      </x:c>
      <x:c r="C357" s="9" t="n">
        <x:v>163</x:v>
      </x:c>
      <x:c r="D357" s="9" t="str">
        <x:v>Zola's Algorithm</x:v>
      </x:c>
      <x:c r="E357" s="9" t="str">
        <x:v>Algoritmo de Zola</x:v>
      </x:c>
      <x:c r="F357" s="9" t="str">
        <x:v>Campaign</x:v>
      </x:c>
      <x:c r="G357" s="9" t="str">
        <x:v>Expert Campaign</x:v>
      </x:c>
      <x:c r="H357" s="9" t="str">
        <x:v>Campaña en Experto</x:v>
      </x:c>
      <x:c r="I357" s="9" t="str">
        <x:v>https://marvelcdb.com/set/trors</x:v>
      </x:c>
      <x:c r="J357" s="9" t="str">
        <x:v>https://es.marvelcdb.com/set/trors</x:v>
      </x:c>
    </x:row>
    <x:row r="358" ht="20" customHeight="1">
      <x:c r="A358" s="9" t="str">
        <x:v>The Rise of Red Skull</x:v>
      </x:c>
      <x:c r="B358" s="9" t="str">
        <x:v>La Tiranía de Cráneo Rojo</x:v>
      </x:c>
      <x:c r="C358" s="9" t="n">
        <x:v>164</x:v>
      </x:c>
      <x:c r="D358" s="9" t="str">
        <x:v>Medical Emergency</x:v>
      </x:c>
      <x:c r="E358" s="9" t="str">
        <x:v>Emergencia médica</x:v>
      </x:c>
      <x:c r="F358" s="9" t="str">
        <x:v>Campaign</x:v>
      </x:c>
      <x:c r="G358" s="9" t="str">
        <x:v>Expert Campaign</x:v>
      </x:c>
      <x:c r="H358" s="9" t="str">
        <x:v>Campaña en Experto</x:v>
      </x:c>
      <x:c r="I358" s="9" t="str">
        <x:v>https://marvelcdb.com/set/trors</x:v>
      </x:c>
      <x:c r="J358" s="9" t="str">
        <x:v>https://es.marvelcdb.com/set/trors</x:v>
      </x:c>
    </x:row>
    <x:row r="359" ht="20" customHeight="1">
      <x:c r="A359" s="9" t="str">
        <x:v>The Rise of Red Skull</x:v>
      </x:c>
      <x:c r="B359" s="9" t="str">
        <x:v>La Tiranía de Cráneo Rojo</x:v>
      </x:c>
      <x:c r="C359" s="9" t="n">
        <x:v>165</x:v>
      </x:c>
      <x:c r="D359" s="9" t="str">
        <x:v>Martial Law</x:v>
      </x:c>
      <x:c r="E359" s="9" t="str">
        <x:v>Ley marcial</x:v>
      </x:c>
      <x:c r="F359" s="9" t="str">
        <x:v>Campaign</x:v>
      </x:c>
      <x:c r="G359" s="9" t="str">
        <x:v>Expert Campaign</x:v>
      </x:c>
      <x:c r="H359" s="9" t="str">
        <x:v>Campaña en Experto</x:v>
      </x:c>
      <x:c r="I359" s="9" t="str">
        <x:v>https://marvelcdb.com/set/trors</x:v>
      </x:c>
      <x:c r="J359" s="9" t="str">
        <x:v>https://es.marvelcdb.com/set/trors</x:v>
      </x:c>
    </x:row>
    <x:row r="360" ht="20" customHeight="1">
      <x:c r="A360" s="9" t="str">
        <x:v>The Rise of Red Skull</x:v>
      </x:c>
      <x:c r="B360" s="9" t="str">
        <x:v>La Tiranía de Cráneo Rojo</x:v>
      </x:c>
      <x:c r="C360" s="9" t="n">
        <x:v>166</x:v>
      </x:c>
      <x:c r="D360" s="9" t="str">
        <x:v>Anti-Hero Propaganda</x:v>
      </x:c>
      <x:c r="E360" s="9" t="str">
        <x:v>Propaganda antiheroica</x:v>
      </x:c>
      <x:c r="F360" s="9" t="str">
        <x:v>Campaign</x:v>
      </x:c>
      <x:c r="G360" s="9" t="str">
        <x:v>Expert Campaign</x:v>
      </x:c>
      <x:c r="H360" s="9" t="str">
        <x:v>Campaña en Experto</x:v>
      </x:c>
      <x:c r="I360" s="9" t="str">
        <x:v>https://marvelcdb.com/set/trors</x:v>
      </x:c>
      <x:c r="J360" s="9" t="str">
        <x:v>https://es.marvelcdb.com/set/trors</x:v>
      </x:c>
    </x:row>
  </x:sheetData>
  <x:pageMargins left="0.7" right="0.7" top="0.75" bottom="0.75" header="0.3" footer="0.3"/>
  <x:tableParts count="1">
    <x:tablePart xmlns:r="http://schemas.openxmlformats.org/officeDocument/2006/relationships" r:id="Rb113d07422e84c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3" t="str">
        <x:v>Hero EN</x:v>
      </x:c>
      <x:c r="B1" s="3" t="str">
        <x:v>Hero ES</x:v>
      </x:c>
      <x:c r="C1" s="3" t="str">
        <x:v>Pack EN</x:v>
      </x:c>
      <x:c r="D1" s="3" t="str">
        <x:v>Pack ES</x:v>
      </x:c>
      <x:c r="F1" s="13" t="str">
        <x:v>Scenario EN</x:v>
      </x:c>
      <x:c r="G1" s="13" t="str">
        <x:v>Scenario ES</x:v>
      </x:c>
      <x:c r="H1" s="13" t="str">
        <x:v>Pack EN</x:v>
      </x:c>
      <x:c r="I1" s="13" t="str">
        <x:v>Pack ES</x:v>
      </x:c>
    </x:row>
    <x:row r="2">
      <x:c r="A2" t="str">
        <x:v>Spider-Man</x:v>
      </x:c>
      <x:c r="B2" t="str">
        <x:v>Spiderman</x:v>
      </x:c>
      <x:c r="C2" t="str">
        <x:v>Core Set</x:v>
      </x:c>
      <x:c r="D2" t="str">
        <x:v>Caja básica</x:v>
      </x:c>
      <x:c r="F2" t="str">
        <x:v>Rhino</x:v>
      </x:c>
      <x:c r="G2" t="str">
        <x:v>Rino</x:v>
      </x:c>
      <x:c r="H2" t="str">
        <x:v>Core Set</x:v>
      </x:c>
      <x:c r="I2" t="str">
        <x:v>Caja básica</x:v>
      </x:c>
    </x:row>
    <x:row r="3">
      <x:c r="A3" t="str">
        <x:v>Captain Marvel</x:v>
      </x:c>
      <x:c r="B3" t="str">
        <x:v>Capitana Marvel</x:v>
      </x:c>
      <x:c r="C3" t="str">
        <x:v>Core Set</x:v>
      </x:c>
      <x:c r="D3" t="str">
        <x:v>Caja básica</x:v>
      </x:c>
      <x:c r="F3" t="str">
        <x:v>Klaw</x:v>
      </x:c>
      <x:c r="G3" t="str">
        <x:v>Klaw</x:v>
      </x:c>
      <x:c r="H3" t="str">
        <x:v>Core Set</x:v>
      </x:c>
      <x:c r="I3" t="str">
        <x:v>Caja básica</x:v>
      </x:c>
    </x:row>
    <x:row r="4">
      <x:c r="A4" t="str">
        <x:v>She-Hulk</x:v>
      </x:c>
      <x:c r="B4" t="str">
        <x:v>Hulka</x:v>
      </x:c>
      <x:c r="C4" t="str">
        <x:v>Core Set</x:v>
      </x:c>
      <x:c r="D4" t="str">
        <x:v>Caja básica</x:v>
      </x:c>
      <x:c r="F4" t="str">
        <x:v>Ultron</x:v>
      </x:c>
      <x:c r="G4" t="str">
        <x:v>Ultrón</x:v>
      </x:c>
      <x:c r="H4" t="str">
        <x:v>Core Set</x:v>
      </x:c>
      <x:c r="I4" t="str">
        <x:v>Caja básica</x:v>
      </x:c>
    </x:row>
    <x:row r="5">
      <x:c r="A5" t="str">
        <x:v>Iron Man</x:v>
      </x:c>
      <x:c r="B5" t="str">
        <x:v>Iron Man</x:v>
      </x:c>
      <x:c r="C5" t="str">
        <x:v>Core Set</x:v>
      </x:c>
      <x:c r="D5" t="str">
        <x:v>Caja básica</x:v>
      </x:c>
      <x:c r="F5" t="str">
        <x:v>Crossbones</x:v>
      </x:c>
      <x:c r="G5" t="str">
        <x:v>Calavera</x:v>
      </x:c>
      <x:c r="H5" t="str">
        <x:v>The Rise of Red Skull</x:v>
      </x:c>
      <x:c r="I5" t="str">
        <x:v>La Tiranía de Cráneo Rojo</x:v>
      </x:c>
    </x:row>
    <x:row r="6">
      <x:c r="A6" t="str">
        <x:v>Black Panther</x:v>
      </x:c>
      <x:c r="B6" t="str">
        <x:v>Pantera Negra</x:v>
      </x:c>
      <x:c r="C6" t="str">
        <x:v>Core Set</x:v>
      </x:c>
      <x:c r="D6" t="str">
        <x:v>Caja básica</x:v>
      </x:c>
      <x:c r="F6" t="str">
        <x:v>Absorbing Man</x:v>
      </x:c>
      <x:c r="G6" t="str">
        <x:v>Hombre Absorbente</x:v>
      </x:c>
      <x:c r="H6" t="str">
        <x:v>The Rise of Red Skull</x:v>
      </x:c>
      <x:c r="I6" t="str">
        <x:v>La Tiranía de Cráneo Rojo</x:v>
      </x:c>
    </x:row>
    <x:row r="7">
      <x:c r="A7" t="str">
        <x:v>Hawkeye</x:v>
      </x:c>
      <x:c r="B7" t="str">
        <x:v>Ojo de Halcón</x:v>
      </x:c>
      <x:c r="C7" t="str">
        <x:v>The Rise of Red Skull</x:v>
      </x:c>
      <x:c r="D7" t="str">
        <x:v>La Tiranía de Cráneo Rojo</x:v>
      </x:c>
      <x:c r="F7" t="str">
        <x:v>Taskmaster</x:v>
      </x:c>
      <x:c r="G7" t="str">
        <x:v>Supervisor</x:v>
      </x:c>
      <x:c r="H7" t="str">
        <x:v>The Rise of Red Skull</x:v>
      </x:c>
      <x:c r="I7" t="str">
        <x:v>La Tiranía de Cráneo Rojo</x:v>
      </x:c>
    </x:row>
    <x:row r="8">
      <x:c r="A8" t="str">
        <x:v>Spider-Woman</x:v>
      </x:c>
      <x:c r="B8" t="str">
        <x:v>Spiderwoman</x:v>
      </x:c>
      <x:c r="C8" t="str">
        <x:v>The Rise of Red Skull</x:v>
      </x:c>
      <x:c r="D8" t="str">
        <x:v>La Tiranía de Cráneo Rojo</x:v>
      </x:c>
      <x:c r="F8" t="str">
        <x:v>Zola</x:v>
      </x:c>
      <x:c r="G8" t="str">
        <x:v>Zola</x:v>
      </x:c>
      <x:c r="H8" t="str">
        <x:v>The Rise of Red Skull</x:v>
      </x:c>
      <x:c r="I8" t="str">
        <x:v>La Tiranía de Cráneo Rojo</x:v>
      </x:c>
    </x:row>
    <x:row r="9">
      <x:c r="F9" t="str">
        <x:v>Red Skull</x:v>
      </x:c>
      <x:c r="G9" t="str">
        <x:v>Cráneo Rojo</x:v>
      </x:c>
      <x:c r="H9" t="str">
        <x:v>The Rise of Red Skull</x:v>
      </x:c>
      <x:c r="I9" t="str">
        <x:v>La Tiranía de Cráneo Rojo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14" hidden="0" customWidth="1"/>
    <x:col min="8" max="8" width="12" hidden="0" customWidth="1"/>
    <x:col min="9" max="9" width="19" hidden="0" customWidth="1"/>
    <x:col min="10" max="10" width="14" hidden="0" customWidth="1"/>
    <x:col min="11" max="11" width="52" hidden="0" customWidth="1"/>
  </x:cols>
  <x:sheetData>
    <x:row r="1">
      <x:c r="A1" s="4" t="str">
        <x:v>Date</x:v>
      </x:c>
      <x:c r="B1" s="4" t="str">
        <x:v>Hero EN</x:v>
      </x:c>
      <x:c r="C1" s="4" t="str">
        <x:v>Hero ES</x:v>
      </x:c>
      <x:c r="D1" s="4" t="str">
        <x:v>Aspect</x:v>
      </x:c>
      <x:c r="E1" s="4" t="str">
        <x:v>Scenario EN</x:v>
      </x:c>
      <x:c r="F1" s="4" t="str">
        <x:v>Scenario ES</x:v>
      </x:c>
      <x:c r="G1" s="4" t="str">
        <x:v>Difficulty</x:v>
      </x:c>
      <x:c r="H1" s="4" t="str">
        <x:v>Campaign?</x:v>
      </x:c>
      <x:c r="I1" s="4" t="str">
        <x:v>Result</x:v>
      </x:c>
      <x:c r="J1" s="4" t="str">
        <x:v>Deck ID</x:v>
      </x:c>
      <x:c r="K1" s="8" t="str">
        <x:v>Key notes / lessons</x:v>
      </x:c>
    </x:row>
    <x:row r="2">
      <x:c r="A2" s="16"/>
      <x:c r="B2" t="str">
        <x:v>Spider-Man</x:v>
      </x:c>
      <x:c r="C2" t="str">
        <x:v>Spiderman</x:v>
      </x:c>
      <x:c r="D2" t="str">
        <x:v>Justice</x:v>
      </x:c>
      <x:c r="E2" t="str">
        <x:v>Rhino</x:v>
      </x:c>
      <x:c r="F2" t="str">
        <x:v>Rino</x:v>
      </x:c>
      <x:c r="G2" t="str">
        <x:v>Unknown</x:v>
      </x:c>
      <x:c r="H2" t="str">
        <x:v>No</x:v>
      </x:c>
      <x:c r="I2" t="str">
        <x:v>Win</x:v>
      </x:c>
      <x:c r="J2" t="str"/>
      <x:c r="K2" t="str">
        <x:v>First recorded Rhino win.</x:v>
      </x:c>
    </x:row>
    <x:row r="3">
      <x:c r="A3" s="16"/>
      <x:c r="B3" t="str">
        <x:v>Captain Marvel</x:v>
      </x:c>
      <x:c r="C3" t="str">
        <x:v>Capitana Marvel</x:v>
      </x:c>
      <x:c r="D3" t="str">
        <x:v>Unknown</x:v>
      </x:c>
      <x:c r="E3" t="str">
        <x:v>Rhino</x:v>
      </x:c>
      <x:c r="F3" t="str">
        <x:v>Rino</x:v>
      </x:c>
      <x:c r="G3" t="str">
        <x:v>Unknown</x:v>
      </x:c>
      <x:c r="H3" t="str">
        <x:v>No</x:v>
      </x:c>
      <x:c r="I3" t="str">
        <x:v>Win</x:v>
      </x:c>
      <x:c r="J3" t="str"/>
      <x:c r="K3" t="str">
        <x:v>Recorded Rhino win.</x:v>
      </x:c>
    </x:row>
    <x:row r="4">
      <x:c r="A4" s="16"/>
      <x:c r="B4" t="str">
        <x:v>Black Panther</x:v>
      </x:c>
      <x:c r="C4" t="str">
        <x:v>Pantera Negra</x:v>
      </x:c>
      <x:c r="D4" t="str">
        <x:v>Unknown</x:v>
      </x:c>
      <x:c r="E4" t="str">
        <x:v>Rhino</x:v>
      </x:c>
      <x:c r="F4" t="str">
        <x:v>Rino</x:v>
      </x:c>
      <x:c r="G4" t="str">
        <x:v>Unknown</x:v>
      </x:c>
      <x:c r="H4" t="str">
        <x:v>No</x:v>
      </x:c>
      <x:c r="I4" t="str">
        <x:v>Played / unknown</x:v>
      </x:c>
      <x:c r="J4" t="str"/>
      <x:c r="K4" t="str">
        <x:v>Rules lesson: villain activations caused by encounter cards still use boost cards unless stated otherwise.</x:v>
      </x:c>
    </x:row>
    <x:row r="5">
      <x:c r="A5" s="16"/>
    </x:row>
    <x:row r="6">
      <x:c r="A6" s="16"/>
    </x:row>
    <x:row r="7">
      <x:c r="A7" s="16"/>
    </x:row>
    <x:row r="8">
      <x:c r="A8" s="16"/>
    </x:row>
    <x:row r="9">
      <x:c r="A9" s="16"/>
    </x:row>
    <x:row r="10">
      <x:c r="A10" s="16"/>
    </x:row>
    <x:row r="11">
      <x:c r="A11" s="16"/>
    </x:row>
    <x:row r="12">
      <x:c r="A12" s="16"/>
    </x:row>
    <x:row r="13">
      <x:c r="A13" s="16"/>
    </x:row>
    <x:row r="14">
      <x:c r="A14" s="16"/>
    </x:row>
    <x:row r="15">
      <x:c r="A15" s="16"/>
    </x:row>
    <x:row r="16">
      <x:c r="A16" s="16"/>
    </x:row>
    <x:row r="17">
      <x:c r="A17" s="16"/>
    </x:row>
    <x:row r="18">
      <x:c r="A18" s="16"/>
    </x:row>
    <x:row r="19">
      <x:c r="A19" s="16"/>
    </x:row>
    <x:row r="20">
      <x:c r="A20" s="16"/>
    </x:row>
    <x:row r="21">
      <x:c r="A21" s="16"/>
    </x:row>
    <x:row r="22">
      <x:c r="A22" s="16"/>
    </x:row>
    <x:row r="23">
      <x:c r="A23" s="16"/>
    </x:row>
    <x:row r="24">
      <x:c r="A24" s="16"/>
    </x:row>
    <x:row r="25">
      <x:c r="A25" s="16"/>
    </x:row>
    <x:row r="26">
      <x:c r="A26" s="16"/>
    </x:row>
    <x:row r="27">
      <x:c r="A27" s="16"/>
    </x:row>
    <x:row r="28">
      <x:c r="A28" s="16"/>
    </x:row>
    <x:row r="29">
      <x:c r="A29" s="16"/>
    </x:row>
    <x:row r="30">
      <x:c r="A30" s="16"/>
    </x:row>
    <x:row r="31">
      <x:c r="A31" s="16"/>
    </x:row>
    <x:row r="32">
      <x:c r="A32" s="16"/>
    </x:row>
    <x:row r="33">
      <x:c r="A33" s="16"/>
    </x:row>
    <x:row r="34">
      <x:c r="A34" s="16"/>
    </x:row>
    <x:row r="35">
      <x:c r="A35" s="16"/>
    </x:row>
    <x:row r="36">
      <x:c r="A36" s="16"/>
    </x:row>
    <x:row r="37">
      <x:c r="A37" s="16"/>
    </x:row>
    <x:row r="38">
      <x:c r="A38" s="16"/>
    </x:row>
    <x:row r="39">
      <x:c r="A39" s="16"/>
    </x:row>
    <x:row r="40">
      <x:c r="A40" s="16"/>
    </x:row>
    <x:row r="41">
      <x:c r="A41" s="16"/>
    </x:row>
    <x:row r="42">
      <x:c r="A42" s="16"/>
    </x:row>
    <x:row r="43">
      <x:c r="A43" s="16"/>
    </x:row>
    <x:row r="44">
      <x:c r="A44" s="16"/>
    </x:row>
    <x:row r="45">
      <x:c r="A45" s="16"/>
    </x:row>
    <x:row r="46">
      <x:c r="A46" s="16"/>
    </x:row>
    <x:row r="47">
      <x:c r="A47" s="16"/>
    </x:row>
    <x:row r="48">
      <x:c r="A48" s="16"/>
    </x:row>
    <x:row r="49">
      <x:c r="A49" s="16"/>
    </x:row>
    <x:row r="50">
      <x:c r="A50" s="16"/>
    </x:row>
    <x:row r="51">
      <x:c r="A51" s="16"/>
    </x:row>
    <x:row r="52">
      <x:c r="A52" s="16"/>
    </x:row>
    <x:row r="53">
      <x:c r="A53" s="16"/>
    </x:row>
    <x:row r="54">
      <x:c r="A54" s="16"/>
    </x:row>
    <x:row r="55">
      <x:c r="A55" s="16"/>
    </x:row>
    <x:row r="56">
      <x:c r="A56" s="16"/>
    </x:row>
    <x:row r="57">
      <x:c r="A57" s="16"/>
    </x:row>
    <x:row r="58">
      <x:c r="A58" s="16"/>
    </x:row>
    <x:row r="59">
      <x:c r="A59" s="16"/>
    </x:row>
    <x:row r="60">
      <x:c r="A60" s="16"/>
    </x:row>
    <x:row r="61">
      <x:c r="A61" s="16"/>
    </x:row>
    <x:row r="62">
      <x:c r="A62" s="16"/>
    </x:row>
    <x:row r="63">
      <x:c r="A63" s="16"/>
    </x:row>
    <x:row r="64">
      <x:c r="A64" s="16"/>
    </x:row>
    <x:row r="65">
      <x:c r="A65" s="16"/>
    </x:row>
    <x:row r="66">
      <x:c r="A66" s="16"/>
    </x:row>
    <x:row r="67">
      <x:c r="A67" s="16"/>
    </x:row>
    <x:row r="68">
      <x:c r="A68" s="16"/>
    </x:row>
    <x:row r="69">
      <x:c r="A69" s="16"/>
    </x:row>
    <x:row r="70">
      <x:c r="A70" s="16"/>
    </x:row>
    <x:row r="71">
      <x:c r="A71" s="16"/>
    </x:row>
    <x:row r="72">
      <x:c r="A72" s="16"/>
    </x:row>
    <x:row r="73">
      <x:c r="A73" s="16"/>
    </x:row>
    <x:row r="74">
      <x:c r="A74" s="16"/>
    </x:row>
    <x:row r="75">
      <x:c r="A75" s="16"/>
    </x:row>
    <x:row r="76">
      <x:c r="A76" s="16"/>
    </x:row>
    <x:row r="77">
      <x:c r="A77" s="16"/>
    </x:row>
    <x:row r="78">
      <x:c r="A78" s="16"/>
    </x:row>
    <x:row r="79">
      <x:c r="A79" s="16"/>
    </x:row>
    <x:row r="80">
      <x:c r="A80" s="16"/>
    </x:row>
    <x:row r="81">
      <x:c r="A81" s="16"/>
    </x:row>
    <x:row r="82">
      <x:c r="A82" s="16"/>
    </x:row>
    <x:row r="83">
      <x:c r="A83" s="16"/>
    </x:row>
    <x:row r="84">
      <x:c r="A84" s="16"/>
    </x:row>
    <x:row r="85">
      <x:c r="A85" s="16"/>
    </x:row>
    <x:row r="86">
      <x:c r="A86" s="16"/>
    </x:row>
    <x:row r="87">
      <x:c r="A87" s="16"/>
    </x:row>
    <x:row r="88">
      <x:c r="A88" s="16"/>
    </x:row>
    <x:row r="89">
      <x:c r="A89" s="16"/>
    </x:row>
    <x:row r="90">
      <x:c r="A90" s="16"/>
    </x:row>
    <x:row r="91">
      <x:c r="A91" s="16"/>
    </x:row>
    <x:row r="92">
      <x:c r="A92" s="16"/>
    </x:row>
    <x:row r="93">
      <x:c r="A93" s="16"/>
    </x:row>
    <x:row r="94">
      <x:c r="A94" s="16"/>
    </x:row>
    <x:row r="95">
      <x:c r="A95" s="16"/>
    </x:row>
    <x:row r="96">
      <x:c r="A96" s="16"/>
    </x:row>
    <x:row r="97">
      <x:c r="A97" s="16"/>
    </x:row>
    <x:row r="98">
      <x:c r="A98" s="16"/>
    </x:row>
    <x:row r="99">
      <x:c r="A99" s="16"/>
    </x:row>
    <x:row r="100">
      <x:c r="A100" s="16"/>
    </x:row>
    <x:row r="101">
      <x:c r="A101" s="16"/>
    </x:row>
    <x:row r="102">
      <x:c r="A102" s="16"/>
    </x:row>
    <x:row r="103">
      <x:c r="A103" s="16"/>
    </x:row>
    <x:row r="104">
      <x:c r="A104" s="16"/>
    </x:row>
    <x:row r="105">
      <x:c r="A105" s="16"/>
    </x:row>
    <x:row r="106">
      <x:c r="A106" s="16"/>
    </x:row>
    <x:row r="107">
      <x:c r="A107" s="16"/>
    </x:row>
    <x:row r="108">
      <x:c r="A108" s="16"/>
    </x:row>
    <x:row r="109">
      <x:c r="A109" s="16"/>
    </x:row>
    <x:row r="110">
      <x:c r="A110" s="16"/>
    </x:row>
    <x:row r="111">
      <x:c r="A111" s="16"/>
    </x:row>
    <x:row r="112">
      <x:c r="A112" s="16"/>
    </x:row>
    <x:row r="113">
      <x:c r="A113" s="16"/>
    </x:row>
    <x:row r="114">
      <x:c r="A114" s="16"/>
    </x:row>
    <x:row r="115">
      <x:c r="A115" s="16"/>
    </x:row>
    <x:row r="116">
      <x:c r="A116" s="16"/>
    </x:row>
    <x:row r="117">
      <x:c r="A117" s="16"/>
    </x:row>
    <x:row r="118">
      <x:c r="A118" s="16"/>
    </x:row>
    <x:row r="119">
      <x:c r="A119" s="16"/>
    </x:row>
    <x:row r="120">
      <x:c r="A120" s="16"/>
    </x:row>
    <x:row r="121">
      <x:c r="A121" s="16"/>
    </x:row>
    <x:row r="122">
      <x:c r="A122" s="16"/>
    </x:row>
    <x:row r="123">
      <x:c r="A123" s="16"/>
    </x:row>
    <x:row r="124">
      <x:c r="A124" s="16"/>
    </x:row>
    <x:row r="125">
      <x:c r="A125" s="16"/>
    </x:row>
    <x:row r="126">
      <x:c r="A126" s="16"/>
    </x:row>
    <x:row r="127">
      <x:c r="A127" s="16"/>
    </x:row>
    <x:row r="128">
      <x:c r="A128" s="16"/>
    </x:row>
    <x:row r="129">
      <x:c r="A129" s="16"/>
    </x:row>
    <x:row r="130">
      <x:c r="A130" s="16"/>
    </x:row>
    <x:row r="131">
      <x:c r="A131" s="16"/>
    </x:row>
    <x:row r="132">
      <x:c r="A132" s="16"/>
    </x:row>
    <x:row r="133">
      <x:c r="A133" s="16"/>
    </x:row>
    <x:row r="134">
      <x:c r="A134" s="16"/>
    </x:row>
    <x:row r="135">
      <x:c r="A135" s="16"/>
    </x:row>
    <x:row r="136">
      <x:c r="A136" s="16"/>
    </x:row>
    <x:row r="137">
      <x:c r="A137" s="16"/>
    </x:row>
    <x:row r="138">
      <x:c r="A138" s="16"/>
    </x:row>
    <x:row r="139">
      <x:c r="A139" s="16"/>
    </x:row>
    <x:row r="140">
      <x:c r="A140" s="16"/>
    </x:row>
    <x:row r="141">
      <x:c r="A141" s="16"/>
    </x:row>
    <x:row r="142">
      <x:c r="A142" s="16"/>
    </x:row>
    <x:row r="143">
      <x:c r="A143" s="16"/>
    </x:row>
    <x:row r="144">
      <x:c r="A144" s="16"/>
    </x:row>
    <x:row r="145">
      <x:c r="A145" s="16"/>
    </x:row>
    <x:row r="146">
      <x:c r="A146" s="16"/>
    </x:row>
    <x:row r="147">
      <x:c r="A147" s="16"/>
    </x:row>
    <x:row r="148">
      <x:c r="A148" s="16"/>
    </x:row>
    <x:row r="149">
      <x:c r="A149" s="16"/>
    </x:row>
    <x:row r="150">
      <x:c r="A150" s="16"/>
    </x:row>
    <x:row r="151">
      <x:c r="A151" s="16"/>
    </x:row>
    <x:row r="152">
      <x:c r="A152" s="16"/>
    </x:row>
    <x:row r="153">
      <x:c r="A153" s="16"/>
    </x:row>
    <x:row r="154">
      <x:c r="A154" s="16"/>
    </x:row>
    <x:row r="155">
      <x:c r="A155" s="16"/>
    </x:row>
    <x:row r="156">
      <x:c r="A156" s="16"/>
    </x:row>
    <x:row r="157">
      <x:c r="A157" s="16"/>
    </x:row>
    <x:row r="158">
      <x:c r="A158" s="16"/>
    </x:row>
    <x:row r="159">
      <x:c r="A159" s="16"/>
    </x:row>
    <x:row r="160">
      <x:c r="A160" s="16"/>
    </x:row>
    <x:row r="161">
      <x:c r="A161" s="16"/>
    </x:row>
    <x:row r="162">
      <x:c r="A162" s="16"/>
    </x:row>
    <x:row r="163">
      <x:c r="A163" s="16"/>
    </x:row>
    <x:row r="164">
      <x:c r="A164" s="16"/>
    </x:row>
    <x:row r="165">
      <x:c r="A165" s="16"/>
    </x:row>
    <x:row r="166">
      <x:c r="A166" s="16"/>
    </x:row>
    <x:row r="167">
      <x:c r="A167" s="16"/>
    </x:row>
    <x:row r="168">
      <x:c r="A168" s="16"/>
    </x:row>
    <x:row r="169">
      <x:c r="A169" s="16"/>
    </x:row>
    <x:row r="170">
      <x:c r="A170" s="16"/>
    </x:row>
    <x:row r="171">
      <x:c r="A171" s="16"/>
    </x:row>
    <x:row r="172">
      <x:c r="A172" s="16"/>
    </x:row>
    <x:row r="173">
      <x:c r="A173" s="16"/>
    </x:row>
    <x:row r="174">
      <x:c r="A174" s="16"/>
    </x:row>
    <x:row r="175">
      <x:c r="A175" s="16"/>
    </x:row>
    <x:row r="176">
      <x:c r="A176" s="16"/>
    </x:row>
    <x:row r="177">
      <x:c r="A177" s="16"/>
    </x:row>
    <x:row r="178">
      <x:c r="A178" s="16"/>
    </x:row>
    <x:row r="179">
      <x:c r="A179" s="16"/>
    </x:row>
    <x:row r="180">
      <x:c r="A180" s="16"/>
    </x:row>
    <x:row r="181">
      <x:c r="A181" s="16"/>
    </x:row>
    <x:row r="182">
      <x:c r="A182" s="16"/>
    </x:row>
    <x:row r="183">
      <x:c r="A183" s="16"/>
    </x:row>
    <x:row r="184">
      <x:c r="A184" s="16"/>
    </x:row>
    <x:row r="185">
      <x:c r="A185" s="16"/>
    </x:row>
    <x:row r="186">
      <x:c r="A186" s="16"/>
    </x:row>
    <x:row r="187">
      <x:c r="A187" s="16"/>
    </x:row>
    <x:row r="188">
      <x:c r="A188" s="16"/>
    </x:row>
    <x:row r="189">
      <x:c r="A189" s="16"/>
    </x:row>
    <x:row r="190">
      <x:c r="A190" s="16"/>
    </x:row>
    <x:row r="191">
      <x:c r="A191" s="16"/>
    </x:row>
    <x:row r="192">
      <x:c r="A192" s="16"/>
    </x:row>
    <x:row r="193">
      <x:c r="A193" s="16"/>
    </x:row>
    <x:row r="194">
      <x:c r="A194" s="16"/>
    </x:row>
    <x:row r="195">
      <x:c r="A195" s="16"/>
    </x:row>
    <x:row r="196">
      <x:c r="A196" s="16"/>
    </x:row>
    <x:row r="197">
      <x:c r="A197" s="16"/>
    </x:row>
    <x:row r="198">
      <x:c r="A198" s="16"/>
    </x:row>
    <x:row r="199">
      <x:c r="A199" s="16"/>
    </x:row>
    <x:row r="200">
      <x:c r="A200" s="16"/>
    </x:row>
  </x:sheetData>
  <x:dataValidations count="4">
    <x:dataValidation type="list" sqref="D2:D200">
      <x:formula1>"Aggression,Justice,Leadership,Protection,Multi-Aspect,Unknown"</x:formula1>
    </x:dataValidation>
    <x:dataValidation type="list" sqref="G2:G200">
      <x:formula1>"Standard,Expert,Rookie,Custom,Unknown"</x:formula1>
    </x:dataValidation>
    <x:dataValidation type="list" sqref="H2:H200">
      <x:formula1>"Yes,No"</x:formula1>
    </x:dataValidation>
    <x:dataValidation type="list" sqref="I2:I200">
      <x:formula1>"Win,Loss,Abandoned,Played / 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568f1d9012448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4" hidden="0" customWidth="1"/>
    <x:col min="4" max="4" width="24" hidden="0" customWidth="1"/>
    <x:col min="5" max="5" width="22" hidden="0" customWidth="1"/>
    <x:col min="6" max="6" width="48" hidden="0" customWidth="1"/>
    <x:col min="7" max="7" width="44" hidden="0" customWidth="1"/>
  </x:cols>
  <x:sheetData>
    <x:row r="1">
      <x:c r="A1" s="18" t="str">
        <x:v>Rule / topic</x:v>
      </x:c>
      <x:c r="B1" s="18" t="str">
        <x:v>Practical ruling</x:v>
      </x:c>
      <x:c r="C1" s="18" t="str">
        <x:v>Example EN</x:v>
      </x:c>
      <x:c r="D1" s="18" t="str">
        <x:v>Ejemplo ES</x:v>
      </x:c>
      <x:c r="E1" s="18" t="str">
        <x:v>Status</x:v>
      </x:c>
      <x:c r="F1" s="18" t="str">
        <x:v>Source</x:v>
      </x:c>
      <x:c r="G1" s="18" t="str">
        <x:v>Notes</x:v>
      </x:c>
    </x:row>
    <x:row r="2">
      <x:c r="A2" t="str">
        <x:v>Villain activation caused by encounter card</x:v>
      </x:c>
      <x:c r="B2" t="str">
        <x:v>If an encounter card instructs the villain to attack or scheme, resolve that instructed attack/scheme as a villain activation; deal a boost card as normal unless the effect specifically changes that procedure.</x:v>
      </x:c>
      <x:c r="C2" t="str">
        <x:v>Advance / Assault</x:v>
      </x:c>
      <x:c r="D2" t="str">
        <x:v>Mover ficha / Agresión</x:v>
      </x:c>
      <x:c r="E2" t="str">
        <x:v>Core rule to remember</x:v>
      </x:c>
      <x:c r="F2" t="str">
        <x:v>https://www.fantasyflightgames.com/en/news/2026/7/23/mission-updates/</x:v>
      </x:c>
      <x:c r="G2" t="str">
        <x:v>Use FFG Rules Reference v1.8 (July 2026) as the primary live-ruling authority.</x:v>
      </x:c>
    </x:row>
    <x:row r="3">
      <x:c r="A3" t="str">
        <x:v>Extra encounter cards</x:v>
      </x:c>
      <x:c r="B3" t="str">
        <x:v>A villain attack or scheme caused by an encounter card does not by itself reveal another encounter card. Resolve only what the revealed card instructs, including the activation.</x:v>
      </x:c>
      <x:c r="C3" t="str">
        <x:v>Assault</x:v>
      </x:c>
      <x:c r="D3" t="str">
        <x:v>Agresión</x:v>
      </x:c>
      <x:c r="E3" t="str">
        <x:v>Core rule to remember</x:v>
      </x:c>
      <x:c r="F3" t="str">
        <x:v>https://www.fantasyflightgames.com/en/news/2026/7/23/mission-updates/</x:v>
      </x:c>
      <x:c r="G3" t="str">
        <x:v>Separate the encounter-card reveal from the activation it causes; verify timing against Rules Reference v1.8.</x:v>
      </x:c>
    </x:row>
    <x:row r="4">
      <x:c r="A4" t="str">
        <x:v>Bilingual lookup</x:v>
      </x:c>
      <x:c r="B4" t="str">
        <x:v>For physical Spanish cards, use the Spanish collector number/name in Card Reference; talk about the card in English and cross-check the Spanish name before a ruling.</x:v>
      </x:c>
      <x:c r="C4" t="str">
        <x:v>Taskmaster</x:v>
      </x:c>
      <x:c r="D4" t="str">
        <x:v>Supervisor</x:v>
      </x:c>
      <x:c r="E4" t="str">
        <x:v>Project convention</x:v>
      </x:c>
      <x:c r="F4" t="str">
        <x:v>https://es.marvelcdb.com/set/trors</x:v>
      </x:c>
      <x:c r="G4" t="str">
        <x:v>Collector number is the preferred tie-breaker for similarly translated names.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20" hidden="0" customWidth="1"/>
    <x:col min="5" max="5" width="18" hidden="0" customWidth="1"/>
    <x:col min="6" max="6" width="32" hidden="0" customWidth="1"/>
    <x:col min="7" max="7" width="24" hidden="0" customWidth="1"/>
    <x:col min="8" max="8" width="12" hidden="0" customWidth="1"/>
    <x:col min="9" max="9" width="48" hidden="0" customWidth="1"/>
    <x:col min="10" max="10" width="42" hidden="0" customWidth="1"/>
  </x:cols>
  <x:sheetData>
    <x:row r="1">
      <x:c r="A1" s="3" t="str">
        <x:v>Date</x:v>
      </x:c>
      <x:c r="B1" s="3" t="str">
        <x:v>Deck ID</x:v>
      </x:c>
      <x:c r="C1" s="3" t="str">
        <x:v>Hero EN</x:v>
      </x:c>
      <x:c r="D1" s="3" t="str">
        <x:v>Hero ES</x:v>
      </x:c>
      <x:c r="E1" s="3" t="str">
        <x:v>Aspect(s)</x:v>
      </x:c>
      <x:c r="F1" s="3" t="str">
        <x:v>Deck name / version</x:v>
      </x:c>
      <x:c r="G1" s="3" t="str">
        <x:v>Scenario tested</x:v>
      </x:c>
      <x:c r="H1" s="3" t="str">
        <x:v>Result</x:v>
      </x:c>
      <x:c r="I1" s="20" t="str">
        <x:v>Deck notes</x:v>
      </x:c>
      <x:c r="J1" s="20" t="str">
        <x:v>MarvelCDB / source URL</x:v>
      </x:c>
    </x:row>
    <x:row r="2">
      <x:c r="A2" s="16"/>
    </x:row>
    <x:row r="3">
      <x:c r="A3" s="16"/>
    </x:row>
    <x:row r="4">
      <x:c r="A4" s="16"/>
    </x:row>
    <x:row r="5">
      <x:c r="A5" s="16"/>
    </x:row>
    <x:row r="6">
      <x:c r="A6" s="16"/>
    </x:row>
    <x:row r="7">
      <x:c r="A7" s="16"/>
    </x:row>
    <x:row r="8">
      <x:c r="A8" s="16"/>
    </x:row>
    <x:row r="9">
      <x:c r="A9" s="16"/>
    </x:row>
    <x:row r="10">
      <x:c r="A10" s="16"/>
    </x:row>
    <x:row r="11">
      <x:c r="A11" s="16"/>
    </x:row>
    <x:row r="12">
      <x:c r="A12" s="16"/>
    </x:row>
    <x:row r="13">
      <x:c r="A13" s="16"/>
    </x:row>
    <x:row r="14">
      <x:c r="A14" s="16"/>
    </x:row>
    <x:row r="15">
      <x:c r="A15" s="16"/>
    </x:row>
    <x:row r="16">
      <x:c r="A16" s="16"/>
    </x:row>
    <x:row r="17">
      <x:c r="A17" s="16"/>
    </x:row>
    <x:row r="18">
      <x:c r="A18" s="16"/>
    </x:row>
    <x:row r="19">
      <x:c r="A19" s="16"/>
    </x:row>
    <x:row r="20">
      <x:c r="A20" s="16"/>
    </x:row>
    <x:row r="21">
      <x:c r="A21" s="16"/>
    </x:row>
    <x:row r="22">
      <x:c r="A22" s="16"/>
    </x:row>
    <x:row r="23">
      <x:c r="A23" s="16"/>
    </x:row>
    <x:row r="24">
      <x:c r="A24" s="16"/>
    </x:row>
    <x:row r="25">
      <x:c r="A25" s="16"/>
    </x:row>
    <x:row r="26">
      <x:c r="A26" s="16"/>
    </x:row>
    <x:row r="27">
      <x:c r="A27" s="16"/>
    </x:row>
    <x:row r="28">
      <x:c r="A28" s="16"/>
    </x:row>
    <x:row r="29">
      <x:c r="A29" s="16"/>
    </x:row>
    <x:row r="30">
      <x:c r="A30" s="16"/>
    </x:row>
    <x:row r="31">
      <x:c r="A31" s="16"/>
    </x:row>
    <x:row r="32">
      <x:c r="A32" s="16"/>
    </x:row>
    <x:row r="33">
      <x:c r="A33" s="16"/>
    </x:row>
    <x:row r="34">
      <x:c r="A34" s="16"/>
    </x:row>
    <x:row r="35">
      <x:c r="A35" s="16"/>
    </x:row>
    <x:row r="36">
      <x:c r="A36" s="16"/>
    </x:row>
    <x:row r="37">
      <x:c r="A37" s="16"/>
    </x:row>
    <x:row r="38">
      <x:c r="A38" s="16"/>
    </x:row>
    <x:row r="39">
      <x:c r="A39" s="16"/>
    </x:row>
    <x:row r="40">
      <x:c r="A40" s="16"/>
    </x:row>
    <x:row r="41">
      <x:c r="A41" s="16"/>
    </x:row>
    <x:row r="42">
      <x:c r="A42" s="16"/>
    </x:row>
    <x:row r="43">
      <x:c r="A43" s="16"/>
    </x:row>
    <x:row r="44">
      <x:c r="A44" s="16"/>
    </x:row>
    <x:row r="45">
      <x:c r="A45" s="16"/>
    </x:row>
    <x:row r="46">
      <x:c r="A46" s="16"/>
    </x:row>
    <x:row r="47">
      <x:c r="A47" s="16"/>
    </x:row>
    <x:row r="48">
      <x:c r="A48" s="16"/>
    </x:row>
    <x:row r="49">
      <x:c r="A49" s="16"/>
    </x:row>
    <x:row r="50">
      <x:c r="A50" s="16"/>
    </x:row>
    <x:row r="51">
      <x:c r="A51" s="16"/>
    </x:row>
    <x:row r="52">
      <x:c r="A52" s="16"/>
    </x:row>
    <x:row r="53">
      <x:c r="A53" s="16"/>
    </x:row>
    <x:row r="54">
      <x:c r="A54" s="16"/>
    </x:row>
    <x:row r="55">
      <x:c r="A55" s="16"/>
    </x:row>
    <x:row r="56">
      <x:c r="A56" s="16"/>
    </x:row>
    <x:row r="57">
      <x:c r="A57" s="16"/>
    </x:row>
    <x:row r="58">
      <x:c r="A58" s="16"/>
    </x:row>
    <x:row r="59">
      <x:c r="A59" s="16"/>
    </x:row>
    <x:row r="60">
      <x:c r="A60" s="16"/>
    </x:row>
    <x:row r="61">
      <x:c r="A61" s="16"/>
    </x:row>
    <x:row r="62">
      <x:c r="A62" s="16"/>
    </x:row>
    <x:row r="63">
      <x:c r="A63" s="16"/>
    </x:row>
    <x:row r="64">
      <x:c r="A64" s="16"/>
    </x:row>
    <x:row r="65">
      <x:c r="A65" s="16"/>
    </x:row>
    <x:row r="66">
      <x:c r="A66" s="16"/>
    </x:row>
    <x:row r="67">
      <x:c r="A67" s="16"/>
    </x:row>
    <x:row r="68">
      <x:c r="A68" s="16"/>
    </x:row>
    <x:row r="69">
      <x:c r="A69" s="16"/>
    </x:row>
    <x:row r="70">
      <x:c r="A70" s="16"/>
    </x:row>
    <x:row r="71">
      <x:c r="A71" s="16"/>
    </x:row>
    <x:row r="72">
      <x:c r="A72" s="16"/>
    </x:row>
    <x:row r="73">
      <x:c r="A73" s="16"/>
    </x:row>
    <x:row r="74">
      <x:c r="A74" s="16"/>
    </x:row>
    <x:row r="75">
      <x:c r="A75" s="16"/>
    </x:row>
    <x:row r="76">
      <x:c r="A76" s="16"/>
    </x:row>
    <x:row r="77">
      <x:c r="A77" s="16"/>
    </x:row>
    <x:row r="78">
      <x:c r="A78" s="16"/>
    </x:row>
    <x:row r="79">
      <x:c r="A79" s="16"/>
    </x:row>
    <x:row r="80">
      <x:c r="A80" s="16"/>
    </x:row>
    <x:row r="81">
      <x:c r="A81" s="16"/>
    </x:row>
    <x:row r="82">
      <x:c r="A82" s="16"/>
    </x:row>
    <x:row r="83">
      <x:c r="A83" s="16"/>
    </x:row>
    <x:row r="84">
      <x:c r="A84" s="16"/>
    </x:row>
    <x:row r="85">
      <x:c r="A85" s="16"/>
    </x:row>
    <x:row r="86">
      <x:c r="A86" s="16"/>
    </x:row>
    <x:row r="87">
      <x:c r="A87" s="16"/>
    </x:row>
    <x:row r="88">
      <x:c r="A88" s="16"/>
    </x:row>
    <x:row r="89">
      <x:c r="A89" s="16"/>
    </x:row>
    <x:row r="90">
      <x:c r="A90" s="16"/>
    </x:row>
    <x:row r="91">
      <x:c r="A91" s="16"/>
    </x:row>
    <x:row r="92">
      <x:c r="A92" s="16"/>
    </x:row>
    <x:row r="93">
      <x:c r="A93" s="16"/>
    </x:row>
    <x:row r="94">
      <x:c r="A94" s="16"/>
    </x:row>
    <x:row r="95">
      <x:c r="A95" s="16"/>
    </x:row>
    <x:row r="96">
      <x:c r="A96" s="16"/>
    </x:row>
    <x:row r="97">
      <x:c r="A97" s="16"/>
    </x:row>
    <x:row r="98">
      <x:c r="A98" s="16"/>
    </x:row>
    <x:row r="99">
      <x:c r="A99" s="16"/>
    </x:row>
    <x:row r="100">
      <x:c r="A100" s="16"/>
    </x:row>
    <x:row r="101">
      <x:c r="A101" s="16"/>
    </x:row>
    <x:row r="102">
      <x:c r="A102" s="16"/>
    </x:row>
    <x:row r="103">
      <x:c r="A103" s="16"/>
    </x:row>
    <x:row r="104">
      <x:c r="A104" s="16"/>
    </x:row>
    <x:row r="105">
      <x:c r="A105" s="16"/>
    </x:row>
    <x:row r="106">
      <x:c r="A106" s="16"/>
    </x:row>
    <x:row r="107">
      <x:c r="A107" s="16"/>
    </x:row>
    <x:row r="108">
      <x:c r="A108" s="16"/>
    </x:row>
    <x:row r="109">
      <x:c r="A109" s="16"/>
    </x:row>
    <x:row r="110">
      <x:c r="A110" s="16"/>
    </x:row>
    <x:row r="111">
      <x:c r="A111" s="16"/>
    </x:row>
    <x:row r="112">
      <x:c r="A112" s="16"/>
    </x:row>
    <x:row r="113">
      <x:c r="A113" s="16"/>
    </x:row>
    <x:row r="114">
      <x:c r="A114" s="16"/>
    </x:row>
    <x:row r="115">
      <x:c r="A115" s="16"/>
    </x:row>
    <x:row r="116">
      <x:c r="A116" s="16"/>
    </x:row>
    <x:row r="117">
      <x:c r="A117" s="16"/>
    </x:row>
    <x:row r="118">
      <x:c r="A118" s="16"/>
    </x:row>
    <x:row r="119">
      <x:c r="A119" s="16"/>
    </x:row>
    <x:row r="120">
      <x:c r="A120" s="16"/>
    </x:row>
    <x:row r="121">
      <x:c r="A121" s="16"/>
    </x:row>
    <x:row r="122">
      <x:c r="A122" s="16"/>
    </x:row>
    <x:row r="123">
      <x:c r="A123" s="16"/>
    </x:row>
    <x:row r="124">
      <x:c r="A124" s="16"/>
    </x:row>
    <x:row r="125">
      <x:c r="A125" s="16"/>
    </x:row>
    <x:row r="126">
      <x:c r="A126" s="16"/>
    </x:row>
    <x:row r="127">
      <x:c r="A127" s="16"/>
    </x:row>
    <x:row r="128">
      <x:c r="A128" s="16"/>
    </x:row>
    <x:row r="129">
      <x:c r="A129" s="16"/>
    </x:row>
    <x:row r="130">
      <x:c r="A130" s="16"/>
    </x:row>
    <x:row r="131">
      <x:c r="A131" s="16"/>
    </x:row>
    <x:row r="132">
      <x:c r="A132" s="16"/>
    </x:row>
    <x:row r="133">
      <x:c r="A133" s="16"/>
    </x:row>
    <x:row r="134">
      <x:c r="A134" s="16"/>
    </x:row>
    <x:row r="135">
      <x:c r="A135" s="16"/>
    </x:row>
    <x:row r="136">
      <x:c r="A136" s="16"/>
    </x:row>
    <x:row r="137">
      <x:c r="A137" s="16"/>
    </x:row>
    <x:row r="138">
      <x:c r="A138" s="16"/>
    </x:row>
    <x:row r="139">
      <x:c r="A139" s="16"/>
    </x:row>
    <x:row r="140">
      <x:c r="A140" s="16"/>
    </x:row>
    <x:row r="141">
      <x:c r="A141" s="16"/>
    </x:row>
    <x:row r="142">
      <x:c r="A142" s="16"/>
    </x:row>
    <x:row r="143">
      <x:c r="A143" s="16"/>
    </x:row>
    <x:row r="144">
      <x:c r="A144" s="16"/>
    </x:row>
    <x:row r="145">
      <x:c r="A145" s="16"/>
    </x:row>
    <x:row r="146">
      <x:c r="A146" s="16"/>
    </x:row>
    <x:row r="147">
      <x:c r="A147" s="16"/>
    </x:row>
    <x:row r="148">
      <x:c r="A148" s="16"/>
    </x:row>
    <x:row r="149">
      <x:c r="A149" s="16"/>
    </x:row>
    <x:row r="150">
      <x:c r="A150" s="16"/>
    </x:row>
    <x:row r="151">
      <x:c r="A151" s="16"/>
    </x:row>
    <x:row r="152">
      <x:c r="A152" s="16"/>
    </x:row>
    <x:row r="153">
      <x:c r="A153" s="16"/>
    </x:row>
    <x:row r="154">
      <x:c r="A154" s="16"/>
    </x:row>
    <x:row r="155">
      <x:c r="A155" s="16"/>
    </x:row>
    <x:row r="156">
      <x:c r="A156" s="16"/>
    </x:row>
    <x:row r="157">
      <x:c r="A157" s="16"/>
    </x:row>
    <x:row r="158">
      <x:c r="A158" s="16"/>
    </x:row>
    <x:row r="159">
      <x:c r="A159" s="16"/>
    </x:row>
    <x:row r="160">
      <x:c r="A160" s="16"/>
    </x:row>
    <x:row r="161">
      <x:c r="A161" s="16"/>
    </x:row>
    <x:row r="162">
      <x:c r="A162" s="16"/>
    </x:row>
    <x:row r="163">
      <x:c r="A163" s="16"/>
    </x:row>
    <x:row r="164">
      <x:c r="A164" s="16"/>
    </x:row>
    <x:row r="165">
      <x:c r="A165" s="16"/>
    </x:row>
    <x:row r="166">
      <x:c r="A166" s="16"/>
    </x:row>
    <x:row r="167">
      <x:c r="A167" s="16"/>
    </x:row>
    <x:row r="168">
      <x:c r="A168" s="16"/>
    </x:row>
    <x:row r="169">
      <x:c r="A169" s="16"/>
    </x:row>
    <x:row r="170">
      <x:c r="A170" s="16"/>
    </x:row>
    <x:row r="171">
      <x:c r="A171" s="16"/>
    </x:row>
    <x:row r="172">
      <x:c r="A172" s="16"/>
    </x:row>
    <x:row r="173">
      <x:c r="A173" s="16"/>
    </x:row>
    <x:row r="174">
      <x:c r="A174" s="16"/>
    </x:row>
    <x:row r="175">
      <x:c r="A175" s="16"/>
    </x:row>
    <x:row r="176">
      <x:c r="A176" s="16"/>
    </x:row>
    <x:row r="177">
      <x:c r="A177" s="16"/>
    </x:row>
    <x:row r="178">
      <x:c r="A178" s="16"/>
    </x:row>
    <x:row r="179">
      <x:c r="A179" s="16"/>
    </x:row>
    <x:row r="180">
      <x:c r="A180" s="16"/>
    </x:row>
    <x:row r="181">
      <x:c r="A181" s="16"/>
    </x:row>
    <x:row r="182">
      <x:c r="A182" s="16"/>
    </x:row>
    <x:row r="183">
      <x:c r="A183" s="16"/>
    </x:row>
    <x:row r="184">
      <x:c r="A184" s="16"/>
    </x:row>
    <x:row r="185">
      <x:c r="A185" s="16"/>
    </x:row>
    <x:row r="186">
      <x:c r="A186" s="16"/>
    </x:row>
    <x:row r="187">
      <x:c r="A187" s="16"/>
    </x:row>
    <x:row r="188">
      <x:c r="A188" s="16"/>
    </x:row>
    <x:row r="189">
      <x:c r="A189" s="16"/>
    </x:row>
    <x:row r="190">
      <x:c r="A190" s="16"/>
    </x:row>
    <x:row r="191">
      <x:c r="A191" s="16"/>
    </x:row>
    <x:row r="192">
      <x:c r="A192" s="16"/>
    </x:row>
    <x:row r="193">
      <x:c r="A193" s="16"/>
    </x:row>
    <x:row r="194">
      <x:c r="A194" s="16"/>
    </x:row>
    <x:row r="195">
      <x:c r="A195" s="16"/>
    </x:row>
    <x:row r="196">
      <x:c r="A196" s="16"/>
    </x:row>
    <x:row r="197">
      <x:c r="A197" s="16"/>
    </x:row>
    <x:row r="198">
      <x:c r="A198" s="16"/>
    </x:row>
    <x:row r="199">
      <x:c r="A199" s="16"/>
    </x:row>
    <x:row r="200">
      <x:c r="A200" s="16"/>
    </x:row>
  </x:sheetData>
  <x:dataValidations count="2">
    <x:dataValidation type="list" sqref="E2:E200">
      <x:formula1>"Aggression,Justice,Leadership,Protection,Multi-Aspect"</x:formula1>
    </x:dataValidation>
    <x:dataValidation type="list" sqref="H2:H200">
      <x:formula1>"Win,Loss,Untested,Mixed"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a6db98945b48e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6" hidden="0" customWidth="1"/>
    <x:col min="3" max="3" width="18" hidden="0" customWidth="1"/>
    <x:col min="4" max="4" width="12" hidden="0" customWidth="1"/>
    <x:col min="5" max="5" width="22" hidden="0" customWidth="1"/>
    <x:col min="6" max="6" width="11" hidden="0" customWidth="1"/>
    <x:col min="7" max="7" width="14" hidden="0" customWidth="1"/>
    <x:col min="8" max="8" width="15" hidden="0" customWidth="1"/>
    <x:col min="9" max="9" width="11" hidden="0" customWidth="1"/>
    <x:col min="10" max="10" width="10" hidden="0" customWidth="1"/>
    <x:col min="11" max="11" width="10" hidden="0" customWidth="1"/>
    <x:col min="12" max="12" width="11" hidden="0" customWidth="1"/>
    <x:col min="13" max="13" width="13" hidden="0" customWidth="1"/>
    <x:col min="14" max="14" width="22" hidden="0" customWidth="1"/>
    <x:col min="15" max="15" width="28" hidden="0" customWidth="1"/>
  </x:cols>
  <x:sheetData>
    <x:row r="1" ht="28" customHeight="1">
      <x:c r="A1" s="46" t="str">
        <x:v>CORE PROTOCOL — THE ULTRON DIRECTIVE | v1.1 BALANCED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</x:row>
    <x:row r="3">
      <x:c r="A3" s="106" t="str">
        <x:v>Wins</x:v>
      </x:c>
      <x:c r="B3" s="106" t="str">
        <x:v>Objectives</x:v>
      </x:c>
      <x:c r="C3" s="106" t="str">
        <x:v>Masteries</x:v>
      </x:c>
      <x:c r="D3" s="106" t="str">
        <x:v>Intel</x:v>
      </x:c>
      <x:c r="E3" s="106" t="str">
        <x:v>Network</x:v>
      </x:c>
      <x:c r="F3" s="106" t="str">
        <x:v>Asset Limit</x:v>
      </x:c>
      <x:c r="G3" s="106" t="str">
        <x:v>Final Prep</x:v>
      </x:c>
      <x:c r="H3" s="106" t="str">
        <x:v>Story</x:v>
      </x:c>
      <x:c r="J3" s="62" t="str">
        <x:v>AT-THE-TABLE QUICK RULES</x:v>
      </x:c>
      <x:c r="K3" s="62"/>
      <x:c r="L3" s="62"/>
      <x:c r="M3" s="62"/>
      <x:c r="N3" s="62"/>
      <x:c r="O3" s="62"/>
    </x:row>
    <x:row r="4">
      <x:c r="A4" s="54" t="n">
        <x:f>COUNTIF(H8:H22,"Win")</x:f>
        <x:v>0</x:v>
      </x:c>
      <x:c r="B4" s="54" t="n">
        <x:f>COUNTIF(I8:I22,"Yes")</x:f>
        <x:v>0</x:v>
      </x:c>
      <x:c r="C4" s="54" t="n">
        <x:f>COUNTIF(J8:J22,"Yes")</x:f>
        <x:v>0</x:v>
      </x:c>
      <x:c r="D4" s="54" t="n">
        <x:f>L22</x:f>
        <x:v>0</x:v>
      </x:c>
      <x:c r="E4" s="54" t="n">
        <x:f>M22</x:f>
        <x:v>0</x:v>
      </x:c>
      <x:c r="F4" s="54" t="str">
        <x:f>IF(M22&gt;=6,"2 Assets","1 Asset")</x:f>
        <x:v>1 Asset</x:v>
      </x:c>
      <x:c r="G4" s="54" t="n">
        <x:f>COUNTIF(I18:I21,"Yes")</x:f>
        <x:v>0</x:v>
      </x:c>
      <x:c r="H4" s="54" t="str">
        <x:f>COUNTIF(H8:H22,"&lt;&gt;Not Played")&amp;"/15"</x:f>
        <x:v>0/15</x:v>
      </x:c>
      <x:c r="J4" s="63" t="str">
        <x:v>1) Pre-setup/set-aside → normal setup → campaign flags/Interlude/Network → draw &amp; mulligan → Prepared Ambush.
2) Objectives and Mastery persist after a later loss unless they explicitly require a win.
3) At Network 6+, equip 2 Field Assets. Scars lower starting HP dial only; not max HP.
4) At Issues 5 and 10, use Recovery column: -1 or -2 if eligible.</x:v>
      </x:c>
      <x:c r="K4" s="63"/>
      <x:c r="L4" s="63"/>
      <x:c r="M4" s="63"/>
      <x:c r="N4" s="63"/>
      <x:c r="O4" s="63"/>
    </x:row>
    <x:row r="5">
      <x:c r="J5" s="63"/>
      <x:c r="K5" s="63"/>
      <x:c r="L5" s="63"/>
      <x:c r="M5" s="63"/>
      <x:c r="N5" s="63"/>
      <x:c r="O5" s="63"/>
    </x:row>
    <x:row r="6">
      <x:c r="J6" s="63"/>
      <x:c r="K6" s="63"/>
      <x:c r="L6" s="63"/>
      <x:c r="M6" s="63"/>
      <x:c r="N6" s="63"/>
      <x:c r="O6" s="63"/>
    </x:row>
    <x:row r="7" ht="24" customHeight="1">
      <x:c r="A7" s="67" t="str">
        <x:v>#</x:v>
      </x:c>
      <x:c r="B7" s="67" t="str">
        <x:v>Act</x:v>
      </x:c>
      <x:c r="C7" s="67" t="str">
        <x:v>Hero</x:v>
      </x:c>
      <x:c r="D7" s="67" t="str">
        <x:v>Villain</x:v>
      </x:c>
      <x:c r="E7" s="67" t="str">
        <x:v>Modular</x:v>
      </x:c>
      <x:c r="F7" s="67" t="str">
        <x:v>Tier</x:v>
      </x:c>
      <x:c r="G7" s="67" t="str">
        <x:v>Aspect</x:v>
      </x:c>
      <x:c r="H7" s="67" t="str">
        <x:v>Result</x:v>
      </x:c>
      <x:c r="I7" s="67" t="str">
        <x:v>Objective</x:v>
      </x:c>
      <x:c r="J7" s="67" t="str">
        <x:v>Mastery</x:v>
      </x:c>
      <x:c r="K7" s="67" t="str">
        <x:v>Recovery</x:v>
      </x:c>
      <x:c r="L7" s="67" t="str">
        <x:v>Intel After</x:v>
      </x:c>
      <x:c r="M7" s="67" t="str">
        <x:v>Network After</x:v>
      </x:c>
      <x:c r="N7" s="67" t="str">
        <x:v>Flag</x:v>
      </x:c>
      <x:c r="O7" s="67" t="str">
        <x:v>Notes</x:v>
      </x:c>
    </x:row>
    <x:row r="8">
      <x:c r="A8" s="73" t="n">
        <x:v>1</x:v>
      </x:c>
      <x:c r="B8" s="73" t="str">
        <x:v>I</x:v>
      </x:c>
      <x:c r="C8" s="71" t="str">
        <x:v>Spider-Man</x:v>
      </x:c>
      <x:c r="D8" s="71" t="str">
        <x:v>Rhino</x:v>
      </x:c>
      <x:c r="E8" s="71" t="str">
        <x:v>Bomb Scare</x:v>
      </x:c>
      <x:c r="F8" s="73" t="str">
        <x:v>Standard</x:v>
      </x:c>
      <x:c r="G8" s="73" t="str"/>
      <x:c r="H8" s="73" t="str">
        <x:v>Not Played</x:v>
      </x:c>
      <x:c r="I8" s="73" t="str">
        <x:v>No</x:v>
      </x:c>
      <x:c r="J8" s="73" t="str">
        <x:v>No</x:v>
      </x:c>
      <x:c r="K8" s="73" t="n">
        <x:v>0</x:v>
      </x:c>
      <x:c r="L8" s="73" t="n">
        <x:f>IF(H8="Win",1,0)+IF(I8="Yes",1,0)+IF(J8="Yes",1,0)</x:f>
        <x:v>0</x:v>
      </x:c>
      <x:c r="M8" s="73" t="n">
        <x:f>MAX(0,IF(H8="Hero Defeat",1,IF(H8="Scheme Loss",2,0))+K8)</x:f>
        <x:v>0</x:v>
      </x:c>
      <x:c r="N8" s="71" t="str">
        <x:v>BOMB DEFUSED</x:v>
      </x:c>
      <x:c r="O8" s="71" t="str"/>
    </x:row>
    <x:row r="9">
      <x:c r="A9" s="74" t="n">
        <x:v>2</x:v>
      </x:c>
      <x:c r="B9" s="74" t="str">
        <x:v>I</x:v>
      </x:c>
      <x:c r="C9" s="72" t="str">
        <x:v>Captain Marvel</x:v>
      </x:c>
      <x:c r="D9" s="72" t="str">
        <x:v>Klaw</x:v>
      </x:c>
      <x:c r="E9" s="72" t="str">
        <x:v>Masters of Evil</x:v>
      </x:c>
      <x:c r="F9" s="74" t="str">
        <x:v>Standard</x:v>
      </x:c>
      <x:c r="G9" s="74" t="str"/>
      <x:c r="H9" s="74" t="str">
        <x:v>Not Played</x:v>
      </x:c>
      <x:c r="I9" s="74" t="str">
        <x:v>No</x:v>
      </x:c>
      <x:c r="J9" s="74" t="str">
        <x:v>No</x:v>
      </x:c>
      <x:c r="K9" s="74" t="n">
        <x:v>0</x:v>
      </x:c>
      <x:c r="L9" s="74" t="n">
        <x:f>L8+IF(H9="Win",1,0)+IF(I9="Yes",1,0)+IF(J9="Yes",1,0)</x:f>
        <x:v>0</x:v>
      </x:c>
      <x:c r="M9" s="74" t="n">
        <x:f>MAX(0,M8+IF(H9="Hero Defeat",1,IF(H9="Scheme Loss",2,0))+K9)</x:f>
        <x:v>0</x:v>
      </x:c>
      <x:c r="N9" s="72" t="str">
        <x:v>MASTERS BROKEN</x:v>
      </x:c>
      <x:c r="O9" s="72" t="str"/>
    </x:row>
    <x:row r="10">
      <x:c r="A10" s="73" t="n">
        <x:v>3</x:v>
      </x:c>
      <x:c r="B10" s="73" t="str">
        <x:v>I</x:v>
      </x:c>
      <x:c r="C10" s="71" t="str">
        <x:v>She-Hulk</x:v>
      </x:c>
      <x:c r="D10" s="71" t="str">
        <x:v>Ultron</x:v>
      </x:c>
      <x:c r="E10" s="71" t="str">
        <x:v>Under Attack</x:v>
      </x:c>
      <x:c r="F10" s="73" t="str">
        <x:v>Standard</x:v>
      </x:c>
      <x:c r="G10" s="73" t="str"/>
      <x:c r="H10" s="73" t="str">
        <x:v>Not Played</x:v>
      </x:c>
      <x:c r="I10" s="73" t="str">
        <x:v>No</x:v>
      </x:c>
      <x:c r="J10" s="73" t="str">
        <x:v>No</x:v>
      </x:c>
      <x:c r="K10" s="73" t="n">
        <x:v>0</x:v>
      </x:c>
      <x:c r="L10" s="73" t="n">
        <x:f>L9+IF(H10="Win",1,0)+IF(I10="Yes",1,0)+IF(J10="Yes",1,0)</x:f>
        <x:v>0</x:v>
      </x:c>
      <x:c r="M10" s="73" t="n">
        <x:f>MAX(0,M9+IF(H10="Hero Defeat",1,IF(H10="Scheme Loss",2,0))+K10)</x:f>
        <x:v>0</x:v>
      </x:c>
      <x:c r="N10" s="71" t="str">
        <x:v>DRONE SAMPLE</x:v>
      </x:c>
      <x:c r="O10" s="71" t="str"/>
    </x:row>
    <x:row r="11">
      <x:c r="A11" s="74" t="n">
        <x:v>4</x:v>
      </x:c>
      <x:c r="B11" s="74" t="str">
        <x:v>I</x:v>
      </x:c>
      <x:c r="C11" s="72" t="str">
        <x:v>Iron Man</x:v>
      </x:c>
      <x:c r="D11" s="72" t="str">
        <x:v>Rhino</x:v>
      </x:c>
      <x:c r="E11" s="72" t="str">
        <x:v>The Doomsday Chair</x:v>
      </x:c>
      <x:c r="F11" s="74" t="str">
        <x:v>Standard</x:v>
      </x:c>
      <x:c r="G11" s="74" t="str"/>
      <x:c r="H11" s="74" t="str">
        <x:v>Not Played</x:v>
      </x:c>
      <x:c r="I11" s="74" t="str">
        <x:v>No</x:v>
      </x:c>
      <x:c r="J11" s="74" t="str">
        <x:v>No</x:v>
      </x:c>
      <x:c r="K11" s="74" t="n">
        <x:v>0</x:v>
      </x:c>
      <x:c r="L11" s="74" t="n">
        <x:f>L10+IF(H11="Win",1,0)+IF(I11="Yes",1,0)+IF(J11="Yes",1,0)</x:f>
        <x:v>0</x:v>
      </x:c>
      <x:c r="M11" s="74" t="n">
        <x:f>MAX(0,M10+IF(H11="Hero Defeat",1,IF(H11="Scheme Loss",2,0))+K11)</x:f>
        <x:v>0</x:v>
      </x:c>
      <x:c r="N11" s="72" t="str">
        <x:v>M.O.D.O.K. PROFILED</x:v>
      </x:c>
      <x:c r="O11" s="72" t="str"/>
    </x:row>
    <x:row r="12">
      <x:c r="A12" s="73" t="n">
        <x:v>5</x:v>
      </x:c>
      <x:c r="B12" s="73" t="str">
        <x:v>I</x:v>
      </x:c>
      <x:c r="C12" s="71" t="str">
        <x:v>Black Panther</x:v>
      </x:c>
      <x:c r="D12" s="71" t="str">
        <x:v>Klaw</x:v>
      </x:c>
      <x:c r="E12" s="71" t="str">
        <x:v>Legions of Hydra</x:v>
      </x:c>
      <x:c r="F12" s="73" t="str">
        <x:v>Standard</x:v>
      </x:c>
      <x:c r="G12" s="73" t="str"/>
      <x:c r="H12" s="73" t="str">
        <x:v>Not Played</x:v>
      </x:c>
      <x:c r="I12" s="73" t="str">
        <x:v>No</x:v>
      </x:c>
      <x:c r="J12" s="73" t="str">
        <x:v>No</x:v>
      </x:c>
      <x:c r="K12" s="73" t="n">
        <x:v>0</x:v>
      </x:c>
      <x:c r="L12" s="73" t="n">
        <x:f>L11+IF(H12="Win",1,0)+IF(I12="Yes",1,0)+IF(J12="Yes",1,0)</x:f>
        <x:v>0</x:v>
      </x:c>
      <x:c r="M12" s="73" t="n">
        <x:f>MAX(0,M11+IF(H12="Hero Defeat",1,IF(H12="Scheme Loss",2,0))+K12)</x:f>
        <x:v>0</x:v>
      </x:c>
      <x:c r="N12" s="71" t="str">
        <x:v>HYDRA LEDGER</x:v>
      </x:c>
      <x:c r="O12" s="71" t="str"/>
    </x:row>
    <x:row r="13">
      <x:c r="A13" s="74" t="n">
        <x:v>6</x:v>
      </x:c>
      <x:c r="B13" s="74" t="str">
        <x:v>II</x:v>
      </x:c>
      <x:c r="C13" s="72" t="str">
        <x:v>Spider-Man</x:v>
      </x:c>
      <x:c r="D13" s="72" t="str">
        <x:v>Klaw</x:v>
      </x:c>
      <x:c r="E13" s="72" t="str">
        <x:v>Under Attack</x:v>
      </x:c>
      <x:c r="F13" s="74" t="str">
        <x:v>Veteran</x:v>
      </x:c>
      <x:c r="G13" s="74" t="str"/>
      <x:c r="H13" s="74" t="str">
        <x:v>Not Played</x:v>
      </x:c>
      <x:c r="I13" s="74" t="str">
        <x:v>No</x:v>
      </x:c>
      <x:c r="J13" s="74" t="str">
        <x:v>No</x:v>
      </x:c>
      <x:c r="K13" s="74" t="n">
        <x:v>0</x:v>
      </x:c>
      <x:c r="L13" s="74" t="n">
        <x:f>L12+IF(H13="Win",1,0)+IF(I13="Yes",1,0)+IF(J13="Yes",1,0)</x:f>
        <x:v>0</x:v>
      </x:c>
      <x:c r="M13" s="74" t="n">
        <x:f>MAX(0,M12+IF(H13="Hero Defeat",1,IF(H13="Scheme Loss",2,0))+K13)</x:f>
        <x:v>0</x:v>
      </x:c>
      <x:c r="N13" s="72" t="str">
        <x:v>SONIC KEY</x:v>
      </x:c>
      <x:c r="O13" s="72" t="str"/>
    </x:row>
    <x:row r="14">
      <x:c r="A14" s="73" t="n">
        <x:v>7</x:v>
      </x:c>
      <x:c r="B14" s="73" t="str">
        <x:v>II</x:v>
      </x:c>
      <x:c r="C14" s="71" t="str">
        <x:v>Captain Marvel</x:v>
      </x:c>
      <x:c r="D14" s="71" t="str">
        <x:v>Ultron</x:v>
      </x:c>
      <x:c r="E14" s="71" t="str">
        <x:v>Bomb Scare</x:v>
      </x:c>
      <x:c r="F14" s="73" t="str">
        <x:v>Veteran</x:v>
      </x:c>
      <x:c r="G14" s="73" t="str"/>
      <x:c r="H14" s="73" t="str">
        <x:v>Not Played</x:v>
      </x:c>
      <x:c r="I14" s="73" t="str">
        <x:v>No</x:v>
      </x:c>
      <x:c r="J14" s="73" t="str">
        <x:v>No</x:v>
      </x:c>
      <x:c r="K14" s="73" t="n">
        <x:v>0</x:v>
      </x:c>
      <x:c r="L14" s="73" t="n">
        <x:f>L13+IF(H14="Win",1,0)+IF(I14="Yes",1,0)+IF(J14="Yes",1,0)</x:f>
        <x:v>0</x:v>
      </x:c>
      <x:c r="M14" s="73" t="n">
        <x:f>MAX(0,M13+IF(H14="Hero Defeat",1,IF(H14="Scheme Loss",2,0))+K14)</x:f>
        <x:v>0</x:v>
      </x:c>
      <x:c r="N14" s="71" t="str">
        <x:v>EVACUATION COMPLETE</x:v>
      </x:c>
      <x:c r="O14" s="71" t="str"/>
    </x:row>
    <x:row r="15">
      <x:c r="A15" s="74" t="n">
        <x:v>8</x:v>
      </x:c>
      <x:c r="B15" s="74" t="str">
        <x:v>II</x:v>
      </x:c>
      <x:c r="C15" s="72" t="str">
        <x:v>She-Hulk</x:v>
      </x:c>
      <x:c r="D15" s="72" t="str">
        <x:v>Rhino</x:v>
      </x:c>
      <x:c r="E15" s="72" t="str">
        <x:v>Legions of Hydra</x:v>
      </x:c>
      <x:c r="F15" s="74" t="str">
        <x:v>Veteran</x:v>
      </x:c>
      <x:c r="G15" s="74" t="str"/>
      <x:c r="H15" s="74" t="str">
        <x:v>Not Played</x:v>
      </x:c>
      <x:c r="I15" s="74" t="str">
        <x:v>No</x:v>
      </x:c>
      <x:c r="J15" s="74" t="str">
        <x:v>No</x:v>
      </x:c>
      <x:c r="K15" s="74" t="n">
        <x:v>0</x:v>
      </x:c>
      <x:c r="L15" s="74" t="n">
        <x:f>L14+IF(H15="Win",1,0)+IF(I15="Yes",1,0)+IF(J15="Yes",1,0)</x:f>
        <x:v>0</x:v>
      </x:c>
      <x:c r="M15" s="74" t="n">
        <x:f>MAX(0,M14+IF(H15="Hero Defeat",1,IF(H15="Scheme Loss",2,0))+K15)</x:f>
        <x:v>0</x:v>
      </x:c>
      <x:c r="N15" s="72" t="str">
        <x:v>RHINO CONFESSION</x:v>
      </x:c>
      <x:c r="O15" s="72" t="str"/>
    </x:row>
    <x:row r="16">
      <x:c r="A16" s="73" t="n">
        <x:v>9</x:v>
      </x:c>
      <x:c r="B16" s="73" t="str">
        <x:v>II</x:v>
      </x:c>
      <x:c r="C16" s="71" t="str">
        <x:v>Iron Man</x:v>
      </x:c>
      <x:c r="D16" s="71" t="str">
        <x:v>Klaw</x:v>
      </x:c>
      <x:c r="E16" s="71" t="str">
        <x:v>Masters of Evil</x:v>
      </x:c>
      <x:c r="F16" s="73" t="str">
        <x:v>Veteran</x:v>
      </x:c>
      <x:c r="G16" s="73" t="str"/>
      <x:c r="H16" s="73" t="str">
        <x:v>Not Played</x:v>
      </x:c>
      <x:c r="I16" s="73" t="str">
        <x:v>No</x:v>
      </x:c>
      <x:c r="J16" s="73" t="str">
        <x:v>No</x:v>
      </x:c>
      <x:c r="K16" s="73" t="n">
        <x:v>0</x:v>
      </x:c>
      <x:c r="L16" s="73" t="n">
        <x:f>L15+IF(H16="Win",1,0)+IF(I16="Yes",1,0)+IF(J16="Yes",1,0)</x:f>
        <x:v>0</x:v>
      </x:c>
      <x:c r="M16" s="73" t="n">
        <x:f>MAX(0,M15+IF(H16="Hero Defeat",1,IF(H16="Scheme Loss",2,0))+K16)</x:f>
        <x:v>0</x:v>
      </x:c>
      <x:c r="N16" s="71" t="str">
        <x:v>FIREWALL STABLE</x:v>
      </x:c>
      <x:c r="O16" s="71" t="str"/>
    </x:row>
    <x:row r="17">
      <x:c r="A17" s="74" t="n">
        <x:v>10</x:v>
      </x:c>
      <x:c r="B17" s="74" t="str">
        <x:v>II</x:v>
      </x:c>
      <x:c r="C17" s="72" t="str">
        <x:v>Black Panther</x:v>
      </x:c>
      <x:c r="D17" s="72" t="str">
        <x:v>Ultron</x:v>
      </x:c>
      <x:c r="E17" s="72" t="str">
        <x:v>The Doomsday Chair</x:v>
      </x:c>
      <x:c r="F17" s="74" t="str">
        <x:v>Veteran</x:v>
      </x:c>
      <x:c r="G17" s="74" t="str"/>
      <x:c r="H17" s="74" t="str">
        <x:v>Not Played</x:v>
      </x:c>
      <x:c r="I17" s="74" t="str">
        <x:v>No</x:v>
      </x:c>
      <x:c r="J17" s="74" t="str">
        <x:v>No</x:v>
      </x:c>
      <x:c r="K17" s="74" t="n">
        <x:v>0</x:v>
      </x:c>
      <x:c r="L17" s="74" t="n">
        <x:f>L16+IF(H17="Win",1,0)+IF(I17="Yes",1,0)+IF(J17="Yes",1,0)</x:f>
        <x:v>0</x:v>
      </x:c>
      <x:c r="M17" s="74" t="n">
        <x:f>MAX(0,M16+IF(H17="Hero Defeat",1,IF(H17="Scheme Loss",2,0))+K17)</x:f>
        <x:v>0</x:v>
      </x:c>
      <x:c r="N17" s="72" t="str">
        <x:v>VIBRANIUM SECURED</x:v>
      </x:c>
      <x:c r="O17" s="72" t="str"/>
    </x:row>
    <x:row r="18">
      <x:c r="A18" s="73" t="n">
        <x:v>11</x:v>
      </x:c>
      <x:c r="B18" s="73" t="str">
        <x:v>III</x:v>
      </x:c>
      <x:c r="C18" s="71" t="str">
        <x:v>She-Hulk</x:v>
      </x:c>
      <x:c r="D18" s="71" t="str">
        <x:v>Klaw</x:v>
      </x:c>
      <x:c r="E18" s="71" t="str">
        <x:v>The Doomsday Chair</x:v>
      </x:c>
      <x:c r="F18" s="73" t="str">
        <x:v>Expert</x:v>
      </x:c>
      <x:c r="G18" s="73" t="str"/>
      <x:c r="H18" s="73" t="str">
        <x:v>Not Played</x:v>
      </x:c>
      <x:c r="I18" s="73" t="str">
        <x:v>No</x:v>
      </x:c>
      <x:c r="J18" s="73" t="str">
        <x:v>No</x:v>
      </x:c>
      <x:c r="K18" s="73" t="n">
        <x:v>0</x:v>
      </x:c>
      <x:c r="L18" s="73" t="n">
        <x:f>L17+IF(H18="Win",1,0)+IF(I18="Yes",1,0)+IF(J18="Yes",1,0)</x:f>
        <x:v>0</x:v>
      </x:c>
      <x:c r="M18" s="73" t="n">
        <x:f>MAX(0,M17+IF(H18="Hero Defeat",1,IF(H18="Scheme Loss",2,0))+K18)</x:f>
        <x:v>0</x:v>
      </x:c>
      <x:c r="N18" s="71" t="str">
        <x:v>WITNESS PROTECTED</x:v>
      </x:c>
      <x:c r="O18" s="71" t="str"/>
    </x:row>
    <x:row r="19">
      <x:c r="A19" s="74" t="n">
        <x:v>12</x:v>
      </x:c>
      <x:c r="B19" s="74" t="str">
        <x:v>III</x:v>
      </x:c>
      <x:c r="C19" s="72" t="str">
        <x:v>Black Panther</x:v>
      </x:c>
      <x:c r="D19" s="72" t="str">
        <x:v>Rhino</x:v>
      </x:c>
      <x:c r="E19" s="72" t="str">
        <x:v>Bomb Scare</x:v>
      </x:c>
      <x:c r="F19" s="74" t="str">
        <x:v>Expert</x:v>
      </x:c>
      <x:c r="G19" s="74" t="str"/>
      <x:c r="H19" s="74" t="str">
        <x:v>Not Played</x:v>
      </x:c>
      <x:c r="I19" s="74" t="str">
        <x:v>No</x:v>
      </x:c>
      <x:c r="J19" s="74" t="str">
        <x:v>No</x:v>
      </x:c>
      <x:c r="K19" s="74" t="n">
        <x:v>0</x:v>
      </x:c>
      <x:c r="L19" s="74" t="n">
        <x:f>L18+IF(H19="Win",1,0)+IF(I19="Yes",1,0)+IF(J19="Yes",1,0)</x:f>
        <x:v>0</x:v>
      </x:c>
      <x:c r="M19" s="74" t="n">
        <x:f>MAX(0,M18+IF(H19="Hero Defeat",1,IF(H19="Scheme Loss",2,0))+K19)</x:f>
        <x:v>0</x:v>
      </x:c>
      <x:c r="N19" s="72" t="str">
        <x:v>EMBASSY SECURED</x:v>
      </x:c>
      <x:c r="O19" s="72" t="str"/>
    </x:row>
    <x:row r="20">
      <x:c r="A20" s="73" t="n">
        <x:v>13</x:v>
      </x:c>
      <x:c r="B20" s="73" t="str">
        <x:v>III</x:v>
      </x:c>
      <x:c r="C20" s="71" t="str">
        <x:v>Captain Marvel</x:v>
      </x:c>
      <x:c r="D20" s="71" t="str">
        <x:v>Rhino</x:v>
      </x:c>
      <x:c r="E20" s="71" t="str">
        <x:v>Under Attack</x:v>
      </x:c>
      <x:c r="F20" s="73" t="str">
        <x:v>Expert</x:v>
      </x:c>
      <x:c r="G20" s="73" t="str"/>
      <x:c r="H20" s="73" t="str">
        <x:v>Not Played</x:v>
      </x:c>
      <x:c r="I20" s="73" t="str">
        <x:v>No</x:v>
      </x:c>
      <x:c r="J20" s="73" t="str">
        <x:v>No</x:v>
      </x:c>
      <x:c r="K20" s="73" t="n">
        <x:v>0</x:v>
      </x:c>
      <x:c r="L20" s="73" t="n">
        <x:f>L19+IF(H20="Win",1,0)+IF(I20="Yes",1,0)+IF(J20="Yes",1,0)</x:f>
        <x:v>0</x:v>
      </x:c>
      <x:c r="M20" s="73" t="n">
        <x:f>MAX(0,M19+IF(H20="Hero Defeat",1,IF(H20="Scheme Loss",2,0))+K20)</x:f>
        <x:v>0</x:v>
      </x:c>
      <x:c r="N20" s="71" t="str">
        <x:v>SKYLINE HELD</x:v>
      </x:c>
      <x:c r="O20" s="71" t="str"/>
    </x:row>
    <x:row r="21">
      <x:c r="A21" s="74" t="n">
        <x:v>14</x:v>
      </x:c>
      <x:c r="B21" s="74" t="str">
        <x:v>III</x:v>
      </x:c>
      <x:c r="C21" s="72" t="str">
        <x:v>Spider-Man</x:v>
      </x:c>
      <x:c r="D21" s="72" t="str">
        <x:v>Ultron</x:v>
      </x:c>
      <x:c r="E21" s="72" t="str">
        <x:v>Masters of Evil</x:v>
      </x:c>
      <x:c r="F21" s="74" t="str">
        <x:v>Expert</x:v>
      </x:c>
      <x:c r="G21" s="74" t="str"/>
      <x:c r="H21" s="74" t="str">
        <x:v>Not Played</x:v>
      </x:c>
      <x:c r="I21" s="74" t="str">
        <x:v>No</x:v>
      </x:c>
      <x:c r="J21" s="74" t="str">
        <x:v>No</x:v>
      </x:c>
      <x:c r="K21" s="74" t="n">
        <x:v>0</x:v>
      </x:c>
      <x:c r="L21" s="74" t="n">
        <x:f>L20+IF(H21="Win",1,0)+IF(I21="Yes",1,0)+IF(J21="Yes",1,0)</x:f>
        <x:v>0</x:v>
      </x:c>
      <x:c r="M21" s="74" t="n">
        <x:f>MAX(0,M20+IF(H21="Hero Defeat",1,IF(H21="Scheme Loss",2,0))+K21)</x:f>
        <x:v>0</x:v>
      </x:c>
      <x:c r="N21" s="72" t="str">
        <x:v>CITY SAVED</x:v>
      </x:c>
      <x:c r="O21" s="72" t="str"/>
    </x:row>
    <x:row r="22">
      <x:c r="A22" s="73" t="n">
        <x:v>15</x:v>
      </x:c>
      <x:c r="B22" s="73" t="str">
        <x:v>III</x:v>
      </x:c>
      <x:c r="C22" s="71" t="str">
        <x:v>Iron Man</x:v>
      </x:c>
      <x:c r="D22" s="71" t="str">
        <x:v>Ultron</x:v>
      </x:c>
      <x:c r="E22" s="71" t="str">
        <x:v>Legions of Hydra</x:v>
      </x:c>
      <x:c r="F22" s="73" t="str">
        <x:v>Expert</x:v>
      </x:c>
      <x:c r="G22" s="73" t="str"/>
      <x:c r="H22" s="73" t="str">
        <x:v>Not Played</x:v>
      </x:c>
      <x:c r="I22" s="73" t="str">
        <x:v>No</x:v>
      </x:c>
      <x:c r="J22" s="73" t="str">
        <x:v>No</x:v>
      </x:c>
      <x:c r="K22" s="73" t="n">
        <x:v>0</x:v>
      </x:c>
      <x:c r="L22" s="73" t="n">
        <x:f>L21+IF(H22="Win",1,0)+IF(I22="Yes",1,0)+IF(J22="Yes",1,0)</x:f>
        <x:v>0</x:v>
      </x:c>
      <x:c r="M22" s="73" t="n">
        <x:f>MAX(0,M21+IF(H22="Hero Defeat",1,IF(H22="Scheme Loss",2,0))+K22)</x:f>
        <x:v>0</x:v>
      </x:c>
      <x:c r="N22" s="71" t="str">
        <x:v>CLEAN SHUTDOWN</x:v>
      </x:c>
      <x:c r="O22" s="71" t="str"/>
    </x:row>
    <x:row r="24">
      <x:c r="A24" s="80" t="str">
        <x:v>DECISIONS &amp; RECOVERY</x:v>
      </x:c>
      <x:c r="B24" s="80"/>
      <x:c r="C24" s="80"/>
      <x:c r="D24" s="80"/>
      <x:c r="E24" s="80"/>
      <x:c r="F24" s="80"/>
      <x:c r="G24" s="80"/>
      <x:c r="H24" s="80"/>
    </x:row>
    <x:row r="25" ht="22" customHeight="1">
      <x:c r="A25" s="103" t="str">
        <x:v>Act I Lead</x:v>
      </x:c>
      <x:c r="B25" s="103"/>
      <x:c r="C25" s="105" t="str">
        <x:v>Hydra Lead / M.O.D.O.K. Lead</x:v>
      </x:c>
      <x:c r="D25" s="105"/>
      <x:c r="E25" s="105"/>
      <x:c r="F25" s="105"/>
      <x:c r="G25" s="105"/>
      <x:c r="H25" s="105"/>
    </x:row>
    <x:row r="26" ht="22" customHeight="1">
      <x:c r="A26" s="103" t="str">
        <x:v>Act II Assault</x:v>
      </x:c>
      <x:c r="B26" s="103"/>
      <x:c r="C26" s="105" t="str">
        <x:v>Shield the City / Strike the Core</x:v>
      </x:c>
      <x:c r="D26" s="105"/>
      <x:c r="E26" s="105"/>
      <x:c r="F26" s="105"/>
      <x:c r="G26" s="105"/>
      <x:c r="H26" s="105"/>
    </x:row>
    <x:row r="27" ht="22" customHeight="1">
      <x:c r="A27" s="103" t="str">
        <x:v>Final Preparation</x:v>
      </x:c>
      <x:c r="B27" s="103"/>
      <x:c r="C27" s="105" t="str">
        <x:v>1 point each: WITNESS PROTECTED, EMBASSY SECURED, SKYLINE HELD, CITY SAVED</x:v>
      </x:c>
      <x:c r="D27" s="105"/>
      <x:c r="E27" s="105"/>
      <x:c r="F27" s="105"/>
      <x:c r="G27" s="105"/>
      <x:c r="H27" s="105"/>
    </x:row>
    <x:row r="28" ht="22" customHeight="1">
      <x:c r="A28" s="103" t="str">
        <x:v>Secret Epilogue</x:v>
      </x:c>
      <x:c r="B28" s="103"/>
      <x:c r="C28" s="105" t="str">
        <x:v>All 5 Masteries + 15+ Intel + CLEAN SHUTDOWN</x:v>
      </x:c>
      <x:c r="D28" s="105"/>
      <x:c r="E28" s="105"/>
      <x:c r="F28" s="105"/>
      <x:c r="G28" s="105"/>
      <x:c r="H28" s="105"/>
    </x:row>
  </x:sheetData>
  <x:mergeCells>
    <x:mergeCell ref="A1:O1"/>
    <x:mergeCell ref="J3:O3"/>
    <x:mergeCell ref="J4:O6"/>
    <x:mergeCell ref="A24:H24"/>
    <x:mergeCell ref="A25:B25"/>
    <x:mergeCell ref="C25:H25"/>
    <x:mergeCell ref="A26:B26"/>
    <x:mergeCell ref="C26:H26"/>
    <x:mergeCell ref="A27:B27"/>
    <x:mergeCell ref="C27:H27"/>
    <x:mergeCell ref="A28:B28"/>
    <x:mergeCell ref="C28:H28"/>
  </x:mergeCells>
  <x:conditionalFormatting sqref="H8:H22">
    <x:cfRule type="expression" dxfId="0" priority="1">
      <x:formula>H8="Win"</x:formula>
    </x:cfRule>
    <x:cfRule type="expression" dxfId="1" priority="2">
      <x:formula>OR(H8="Hero Defeat",H8="Scheme Loss",H8="Other Loss")</x:formula>
    </x:cfRule>
  </x:conditionalFormatting>
  <x:conditionalFormatting sqref="I8:J22">
    <x:cfRule type="expression" dxfId="2" priority="3">
      <x:formula>I8="Yes"</x:formula>
    </x:cfRule>
  </x:conditionalFormatting>
  <x:conditionalFormatting sqref="F8:F22">
    <x:cfRule type="expression" dxfId="3" priority="4">
      <x:formula>F8="Veteran"</x:formula>
    </x:cfRule>
    <x:cfRule type="expression" dxfId="4" priority="5">
      <x:formula>F8="Expert"</x:formula>
    </x:cfRule>
  </x:conditionalFormatting>
  <x:conditionalFormatting sqref="M8:M22">
    <x:cfRule type="cellIs" dxfId="5" priority="6" operator="greaterThanOrEqual">
      <x:formula>6</x:formula>
    </x:cfRule>
  </x:conditionalFormatting>
  <x:dataValidations count="4">
    <x:dataValidation type="list" sqref="G8:G22">
      <x:formula1>"Aggression,Justice,Leadership,Protection"</x:formula1>
    </x:dataValidation>
    <x:dataValidation type="list" sqref="H8:H22">
      <x:formula1>"Not Played,Win,Hero Defeat,Scheme Loss,Other Loss"</x:formula1>
    </x:dataValidation>
    <x:dataValidation type="list" sqref="I8:J22">
      <x:formula1>"No,Yes"</x:formula1>
    </x:dataValidation>
    <x:dataValidation type="list" sqref="K8:K22">
      <x:formula1>"0,-1,-2"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12" hidden="0" customWidth="1"/>
    <x:col min="5" max="5" width="14" hidden="0" customWidth="1"/>
    <x:col min="6" max="6" width="12" hidden="0" customWidth="1"/>
    <x:col min="7" max="7" width="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83" t="str">
        <x:v>MIRROR PROTOCOL — 20 REMATCHES | OFFICIAL STANDARD + EXPERT COMPLETION</x:v>
      </x:c>
      <x:c r="B1" s="83"/>
      <x:c r="C1" s="83"/>
      <x:c r="D1" s="83"/>
      <x:c r="E1" s="83"/>
      <x:c r="F1" s="83"/>
      <x:c r="G1" s="83"/>
    </x:row>
    <x:row r="3">
      <x:c r="A3" s="53" t="str">
        <x:v>Clears</x:v>
      </x:c>
      <x:c r="B3" s="53" t="str">
        <x:v>First Mirror Aspect</x:v>
      </x:c>
      <x:c r="C3" s="53" t="str">
        <x:v>Story + Mirror</x:v>
      </x:c>
      <x:c r="D3" s="53" t="str">
        <x:v>Rule</x:v>
      </x:c>
      <x:c r="I3" s="100" t="str">
        <x:v>SUGGESTED FIRST-RUN ASPECT ROUTE</x:v>
      </x:c>
      <x:c r="J3" s="100"/>
      <x:c r="K3" s="100"/>
      <x:c r="L3" s="100"/>
      <x:c r="M3" s="100"/>
    </x:row>
    <x:row r="4">
      <x:c r="A4" s="86" t="n">
        <x:f>COUNTIF(F7:F26,"Win")</x:f>
        <x:v>0</x:v>
      </x:c>
      <x:c r="B4" s="86" t="str">
        <x:v>Use each hero's 4th unused aspect first</x:v>
      </x:c>
      <x:c r="C4" s="86" t="str">
        <x:v>15 + 20 = 35 games</x:v>
      </x:c>
      <x:c r="D4" s="86" t="str">
        <x:v>Reset Scars, Intel, Network, flags, campaign setup, and Field Assets.</x:v>
      </x:c>
      <x:c r="I4" s="101" t="str">
        <x:v>Hero</x:v>
      </x:c>
      <x:c r="J4" s="101" t="str">
        <x:v>1st</x:v>
      </x:c>
      <x:c r="K4" s="101" t="str">
        <x:v>2nd</x:v>
      </x:c>
      <x:c r="L4" s="101" t="str">
        <x:v>3rd</x:v>
      </x:c>
      <x:c r="M4" s="101" t="str">
        <x:v>Mirror 4th</x:v>
      </x:c>
    </x:row>
    <x:row r="5">
      <x:c r="I5" s="102" t="str">
        <x:v>Spider-Man</x:v>
      </x:c>
      <x:c r="J5" s="102" t="str">
        <x:v>Protection</x:v>
      </x:c>
      <x:c r="K5" s="102" t="str">
        <x:v>Justice</x:v>
      </x:c>
      <x:c r="L5" s="102" t="str">
        <x:v>Leadership</x:v>
      </x:c>
      <x:c r="M5" s="102" t="str">
        <x:v>Aggression</x:v>
      </x:c>
    </x:row>
    <x:row r="6">
      <x:c r="A6" s="87" t="str">
        <x:v>Hero</x:v>
      </x:c>
      <x:c r="B6" s="87" t="str">
        <x:v>Villain</x:v>
      </x:c>
      <x:c r="C6" s="87" t="str">
        <x:v>Modular</x:v>
      </x:c>
      <x:c r="D6" s="87" t="str">
        <x:v>Mode</x:v>
      </x:c>
      <x:c r="E6" s="87" t="str">
        <x:v>Aspect</x:v>
      </x:c>
      <x:c r="F6" s="87" t="str">
        <x:v>Result</x:v>
      </x:c>
      <x:c r="G6" s="87" t="str">
        <x:v>Clear</x:v>
      </x:c>
      <x:c r="I6" s="102" t="str">
        <x:v>Captain Marvel</x:v>
      </x:c>
      <x:c r="J6" s="102" t="str">
        <x:v>Leadership</x:v>
      </x:c>
      <x:c r="K6" s="102" t="str">
        <x:v>Aggression</x:v>
      </x:c>
      <x:c r="L6" s="102" t="str">
        <x:v>Justice</x:v>
      </x:c>
      <x:c r="M6" s="102" t="str">
        <x:v>Protection</x:v>
      </x:c>
    </x:row>
    <x:row r="7">
      <x:c r="A7" s="71" t="str">
        <x:v>Spider-Man</x:v>
      </x:c>
      <x:c r="B7" s="71" t="str">
        <x:v>Rhino</x:v>
      </x:c>
      <x:c r="C7" s="71" t="str">
        <x:v>Bomb Scare</x:v>
      </x:c>
      <x:c r="D7" s="73" t="str">
        <x:v>Expert</x:v>
      </x:c>
      <x:c r="E7" s="73" t="str"/>
      <x:c r="F7" s="73" t="str">
        <x:v>Not Played</x:v>
      </x:c>
      <x:c r="G7" s="73" t="str">
        <x:f>IF(F7="Win","✓","")</x:f>
      </x:c>
      <x:c r="I7" s="102" t="str">
        <x:v>She-Hulk</x:v>
      </x:c>
      <x:c r="J7" s="102" t="str">
        <x:v>Aggression</x:v>
      </x:c>
      <x:c r="K7" s="102" t="str">
        <x:v>Leadership</x:v>
      </x:c>
      <x:c r="L7" s="102" t="str">
        <x:v>Justice</x:v>
      </x:c>
      <x:c r="M7" s="102" t="str">
        <x:v>Protection</x:v>
      </x:c>
    </x:row>
    <x:row r="8">
      <x:c r="A8" s="72" t="str">
        <x:v>Spider-Man</x:v>
      </x:c>
      <x:c r="B8" s="72" t="str">
        <x:v>Klaw</x:v>
      </x:c>
      <x:c r="C8" s="72" t="str">
        <x:v>Under Attack</x:v>
      </x:c>
      <x:c r="D8" s="74" t="str">
        <x:v>Standard</x:v>
      </x:c>
      <x:c r="E8" s="74" t="str"/>
      <x:c r="F8" s="74" t="str">
        <x:v>Not Played</x:v>
      </x:c>
      <x:c r="G8" s="74" t="str">
        <x:f>IF(F8="Win","✓","")</x:f>
      </x:c>
      <x:c r="I8" s="102" t="str">
        <x:v>Iron Man</x:v>
      </x:c>
      <x:c r="J8" s="102" t="str">
        <x:v>Justice</x:v>
      </x:c>
      <x:c r="K8" s="102" t="str">
        <x:v>Aggression</x:v>
      </x:c>
      <x:c r="L8" s="102" t="str">
        <x:v>Leadership</x:v>
      </x:c>
      <x:c r="M8" s="102" t="str">
        <x:v>Protection</x:v>
      </x:c>
    </x:row>
    <x:row r="9">
      <x:c r="A9" s="71" t="str">
        <x:v>Spider-Man</x:v>
      </x:c>
      <x:c r="B9" s="71" t="str">
        <x:v>Klaw</x:v>
      </x:c>
      <x:c r="C9" s="71" t="str">
        <x:v>Under Attack</x:v>
      </x:c>
      <x:c r="D9" s="73" t="str">
        <x:v>Expert</x:v>
      </x:c>
      <x:c r="E9" s="73" t="str"/>
      <x:c r="F9" s="73" t="str">
        <x:v>Not Played</x:v>
      </x:c>
      <x:c r="G9" s="73" t="str">
        <x:f>IF(F9="Win","✓","")</x:f>
      </x:c>
      <x:c r="I9" s="102" t="str">
        <x:v>Black Panther</x:v>
      </x:c>
      <x:c r="J9" s="102" t="str">
        <x:v>Justice</x:v>
      </x:c>
      <x:c r="K9" s="102" t="str">
        <x:v>Aggression</x:v>
      </x:c>
      <x:c r="L9" s="102" t="str">
        <x:v>Protection</x:v>
      </x:c>
      <x:c r="M9" s="102" t="str">
        <x:v>Leadership</x:v>
      </x:c>
    </x:row>
    <x:row r="10">
      <x:c r="A10" s="72" t="str">
        <x:v>Spider-Man</x:v>
      </x:c>
      <x:c r="B10" s="72" t="str">
        <x:v>Ultron</x:v>
      </x:c>
      <x:c r="C10" s="72" t="str">
        <x:v>Masters of Evil</x:v>
      </x:c>
      <x:c r="D10" s="74" t="str">
        <x:v>Standard</x:v>
      </x:c>
      <x:c r="E10" s="74" t="str"/>
      <x:c r="F10" s="74" t="str">
        <x:v>Not Played</x:v>
      </x:c>
      <x:c r="G10" s="74" t="str">
        <x:f>IF(F10="Win","✓","")</x:f>
      </x:c>
    </x:row>
    <x:row r="11">
      <x:c r="A11" s="71" t="str">
        <x:v>Captain Marvel</x:v>
      </x:c>
      <x:c r="B11" s="71" t="str">
        <x:v>Klaw</x:v>
      </x:c>
      <x:c r="C11" s="71" t="str">
        <x:v>Masters of Evil</x:v>
      </x:c>
      <x:c r="D11" s="73" t="str">
        <x:v>Expert</x:v>
      </x:c>
      <x:c r="E11" s="73" t="str"/>
      <x:c r="F11" s="73" t="str">
        <x:v>Not Played</x:v>
      </x:c>
      <x:c r="G11" s="73" t="str">
        <x:f>IF(F11="Win","✓","")</x:f>
      </x:c>
    </x:row>
    <x:row r="12">
      <x:c r="A12" s="72" t="str">
        <x:v>Captain Marvel</x:v>
      </x:c>
      <x:c r="B12" s="72" t="str">
        <x:v>Ultron</x:v>
      </x:c>
      <x:c r="C12" s="72" t="str">
        <x:v>Bomb Scare</x:v>
      </x:c>
      <x:c r="D12" s="74" t="str">
        <x:v>Standard</x:v>
      </x:c>
      <x:c r="E12" s="74" t="str"/>
      <x:c r="F12" s="74" t="str">
        <x:v>Not Played</x:v>
      </x:c>
      <x:c r="G12" s="74" t="str">
        <x:f>IF(F12="Win","✓","")</x:f>
      </x:c>
    </x:row>
    <x:row r="13">
      <x:c r="A13" s="71" t="str">
        <x:v>Captain Marvel</x:v>
      </x:c>
      <x:c r="B13" s="71" t="str">
        <x:v>Ultron</x:v>
      </x:c>
      <x:c r="C13" s="71" t="str">
        <x:v>Bomb Scare</x:v>
      </x:c>
      <x:c r="D13" s="73" t="str">
        <x:v>Expert</x:v>
      </x:c>
      <x:c r="E13" s="73" t="str"/>
      <x:c r="F13" s="73" t="str">
        <x:v>Not Played</x:v>
      </x:c>
      <x:c r="G13" s="73" t="str">
        <x:f>IF(F13="Win","✓","")</x:f>
      </x:c>
    </x:row>
    <x:row r="14">
      <x:c r="A14" s="72" t="str">
        <x:v>Captain Marvel</x:v>
      </x:c>
      <x:c r="B14" s="72" t="str">
        <x:v>Rhino</x:v>
      </x:c>
      <x:c r="C14" s="72" t="str">
        <x:v>Under Attack</x:v>
      </x:c>
      <x:c r="D14" s="74" t="str">
        <x:v>Standard</x:v>
      </x:c>
      <x:c r="E14" s="74" t="str"/>
      <x:c r="F14" s="74" t="str">
        <x:v>Not Played</x:v>
      </x:c>
      <x:c r="G14" s="74" t="str">
        <x:f>IF(F14="Win","✓","")</x:f>
      </x:c>
    </x:row>
    <x:row r="15">
      <x:c r="A15" s="71" t="str">
        <x:v>She-Hulk</x:v>
      </x:c>
      <x:c r="B15" s="71" t="str">
        <x:v>Ultron</x:v>
      </x:c>
      <x:c r="C15" s="71" t="str">
        <x:v>Under Attack</x:v>
      </x:c>
      <x:c r="D15" s="73" t="str">
        <x:v>Expert</x:v>
      </x:c>
      <x:c r="E15" s="73" t="str"/>
      <x:c r="F15" s="73" t="str">
        <x:v>Not Played</x:v>
      </x:c>
      <x:c r="G15" s="73" t="str">
        <x:f>IF(F15="Win","✓","")</x:f>
      </x:c>
    </x:row>
    <x:row r="16">
      <x:c r="A16" s="72" t="str">
        <x:v>She-Hulk</x:v>
      </x:c>
      <x:c r="B16" s="72" t="str">
        <x:v>Rhino</x:v>
      </x:c>
      <x:c r="C16" s="72" t="str">
        <x:v>Legions of Hydra</x:v>
      </x:c>
      <x:c r="D16" s="74" t="str">
        <x:v>Standard</x:v>
      </x:c>
      <x:c r="E16" s="74" t="str"/>
      <x:c r="F16" s="74" t="str">
        <x:v>Not Played</x:v>
      </x:c>
      <x:c r="G16" s="74" t="str">
        <x:f>IF(F16="Win","✓","")</x:f>
      </x:c>
    </x:row>
    <x:row r="17">
      <x:c r="A17" s="71" t="str">
        <x:v>She-Hulk</x:v>
      </x:c>
      <x:c r="B17" s="71" t="str">
        <x:v>Rhino</x:v>
      </x:c>
      <x:c r="C17" s="71" t="str">
        <x:v>Legions of Hydra</x:v>
      </x:c>
      <x:c r="D17" s="73" t="str">
        <x:v>Expert</x:v>
      </x:c>
      <x:c r="E17" s="73" t="str"/>
      <x:c r="F17" s="73" t="str">
        <x:v>Not Played</x:v>
      </x:c>
      <x:c r="G17" s="73" t="str">
        <x:f>IF(F17="Win","✓","")</x:f>
      </x:c>
    </x:row>
    <x:row r="18">
      <x:c r="A18" s="72" t="str">
        <x:v>She-Hulk</x:v>
      </x:c>
      <x:c r="B18" s="72" t="str">
        <x:v>Klaw</x:v>
      </x:c>
      <x:c r="C18" s="72" t="str">
        <x:v>The Doomsday Chair</x:v>
      </x:c>
      <x:c r="D18" s="74" t="str">
        <x:v>Standard</x:v>
      </x:c>
      <x:c r="E18" s="74" t="str"/>
      <x:c r="F18" s="74" t="str">
        <x:v>Not Played</x:v>
      </x:c>
      <x:c r="G18" s="74" t="str">
        <x:f>IF(F18="Win","✓","")</x:f>
      </x:c>
    </x:row>
    <x:row r="19">
      <x:c r="A19" s="71" t="str">
        <x:v>Iron Man</x:v>
      </x:c>
      <x:c r="B19" s="71" t="str">
        <x:v>Rhino</x:v>
      </x:c>
      <x:c r="C19" s="71" t="str">
        <x:v>The Doomsday Chair</x:v>
      </x:c>
      <x:c r="D19" s="73" t="str">
        <x:v>Expert</x:v>
      </x:c>
      <x:c r="E19" s="73" t="str"/>
      <x:c r="F19" s="73" t="str">
        <x:v>Not Played</x:v>
      </x:c>
      <x:c r="G19" s="73" t="str">
        <x:f>IF(F19="Win","✓","")</x:f>
      </x:c>
    </x:row>
    <x:row r="20">
      <x:c r="A20" s="72" t="str">
        <x:v>Iron Man</x:v>
      </x:c>
      <x:c r="B20" s="72" t="str">
        <x:v>Klaw</x:v>
      </x:c>
      <x:c r="C20" s="72" t="str">
        <x:v>Masters of Evil</x:v>
      </x:c>
      <x:c r="D20" s="74" t="str">
        <x:v>Standard</x:v>
      </x:c>
      <x:c r="E20" s="74" t="str"/>
      <x:c r="F20" s="74" t="str">
        <x:v>Not Played</x:v>
      </x:c>
      <x:c r="G20" s="74" t="str">
        <x:f>IF(F20="Win","✓","")</x:f>
      </x:c>
    </x:row>
    <x:row r="21">
      <x:c r="A21" s="71" t="str">
        <x:v>Iron Man</x:v>
      </x:c>
      <x:c r="B21" s="71" t="str">
        <x:v>Klaw</x:v>
      </x:c>
      <x:c r="C21" s="71" t="str">
        <x:v>Masters of Evil</x:v>
      </x:c>
      <x:c r="D21" s="73" t="str">
        <x:v>Expert</x:v>
      </x:c>
      <x:c r="E21" s="73" t="str"/>
      <x:c r="F21" s="73" t="str">
        <x:v>Not Played</x:v>
      </x:c>
      <x:c r="G21" s="73" t="str">
        <x:f>IF(F21="Win","✓","")</x:f>
      </x:c>
    </x:row>
    <x:row r="22">
      <x:c r="A22" s="72" t="str">
        <x:v>Iron Man</x:v>
      </x:c>
      <x:c r="B22" s="72" t="str">
        <x:v>Ultron</x:v>
      </x:c>
      <x:c r="C22" s="72" t="str">
        <x:v>Legions of Hydra</x:v>
      </x:c>
      <x:c r="D22" s="74" t="str">
        <x:v>Standard</x:v>
      </x:c>
      <x:c r="E22" s="74" t="str"/>
      <x:c r="F22" s="74" t="str">
        <x:v>Not Played</x:v>
      </x:c>
      <x:c r="G22" s="74" t="str">
        <x:f>IF(F22="Win","✓","")</x:f>
      </x:c>
    </x:row>
    <x:row r="23">
      <x:c r="A23" s="71" t="str">
        <x:v>Black Panther</x:v>
      </x:c>
      <x:c r="B23" s="71" t="str">
        <x:v>Klaw</x:v>
      </x:c>
      <x:c r="C23" s="71" t="str">
        <x:v>Legions of Hydra</x:v>
      </x:c>
      <x:c r="D23" s="73" t="str">
        <x:v>Expert</x:v>
      </x:c>
      <x:c r="E23" s="73" t="str"/>
      <x:c r="F23" s="73" t="str">
        <x:v>Not Played</x:v>
      </x:c>
      <x:c r="G23" s="73" t="str">
        <x:f>IF(F23="Win","✓","")</x:f>
      </x:c>
    </x:row>
    <x:row r="24">
      <x:c r="A24" s="72" t="str">
        <x:v>Black Panther</x:v>
      </x:c>
      <x:c r="B24" s="72" t="str">
        <x:v>Ultron</x:v>
      </x:c>
      <x:c r="C24" s="72" t="str">
        <x:v>The Doomsday Chair</x:v>
      </x:c>
      <x:c r="D24" s="74" t="str">
        <x:v>Standard</x:v>
      </x:c>
      <x:c r="E24" s="74" t="str"/>
      <x:c r="F24" s="74" t="str">
        <x:v>Not Played</x:v>
      </x:c>
      <x:c r="G24" s="74" t="str">
        <x:f>IF(F24="Win","✓","")</x:f>
      </x:c>
    </x:row>
    <x:row r="25">
      <x:c r="A25" s="71" t="str">
        <x:v>Black Panther</x:v>
      </x:c>
      <x:c r="B25" s="71" t="str">
        <x:v>Ultron</x:v>
      </x:c>
      <x:c r="C25" s="71" t="str">
        <x:v>The Doomsday Chair</x:v>
      </x:c>
      <x:c r="D25" s="73" t="str">
        <x:v>Expert</x:v>
      </x:c>
      <x:c r="E25" s="73" t="str"/>
      <x:c r="F25" s="73" t="str">
        <x:v>Not Played</x:v>
      </x:c>
      <x:c r="G25" s="73" t="str">
        <x:f>IF(F25="Win","✓","")</x:f>
      </x:c>
    </x:row>
    <x:row r="26">
      <x:c r="A26" s="72" t="str">
        <x:v>Black Panther</x:v>
      </x:c>
      <x:c r="B26" s="72" t="str">
        <x:v>Rhino</x:v>
      </x:c>
      <x:c r="C26" s="72" t="str">
        <x:v>Bomb Scare</x:v>
      </x:c>
      <x:c r="D26" s="74" t="str">
        <x:v>Standard</x:v>
      </x:c>
      <x:c r="E26" s="74" t="str"/>
      <x:c r="F26" s="74" t="str">
        <x:v>Not Played</x:v>
      </x:c>
      <x:c r="G26" s="74" t="str">
        <x:f>IF(F26="Win","✓","")</x:f>
      </x:c>
    </x:row>
  </x:sheetData>
  <x:mergeCells>
    <x:mergeCell ref="A1:G1"/>
    <x:mergeCell ref="I3:M3"/>
  </x:mergeCells>
  <x:conditionalFormatting sqref="F7:F26">
    <x:cfRule type="expression" dxfId="6" priority="1">
      <x:formula>F7="Win"</x:formula>
    </x:cfRule>
    <x:cfRule type="expression" dxfId="7" priority="2">
      <x:formula>F7="Loss"</x:formula>
    </x:cfRule>
  </x:conditionalFormatting>
  <x:dataValidations count="2">
    <x:dataValidation type="list" sqref="E7:E26">
      <x:formula1>"Aggression,Justice,Leadership,Protection"</x:formula1>
    </x:dataValidation>
    <x:dataValidation type="list" sqref="F7:F26">
      <x:formula1>"Not Played,Win,Loss"</x:formula1>
    </x:dataValidation>
  </x:dataValidations>
  <x:pageMargins left="0.7" right="0.7" top="0.75" bottom="0.75" header="0.3" footer="0.3"/>
</x:worksheet>
</file>